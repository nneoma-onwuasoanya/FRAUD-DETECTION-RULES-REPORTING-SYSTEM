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bizT\Downloads\"/>
    </mc:Choice>
  </mc:AlternateContent>
  <bookViews>
    <workbookView xWindow="0" yWindow="0" windowWidth="20490" windowHeight="7755" activeTab="3"/>
  </bookViews>
  <sheets>
    <sheet name="mock_dataset" sheetId="1" r:id="rId1"/>
    <sheet name=" Pivot Table" sheetId="9" r:id="rId2"/>
    <sheet name="Count of Fraud Reason" sheetId="5" r:id="rId3"/>
    <sheet name="Reporting Template" sheetId="6" r:id="rId4"/>
  </sheets>
  <definedNames>
    <definedName name="_xlnm._FilterDatabase" localSheetId="0" hidden="1">mock_dataset!$A$1:$I$101</definedName>
  </definedNames>
  <calcPr calcId="0"/>
  <pivotCaches>
    <pivotCache cacheId="34" r:id="rId5"/>
  </pivotCaches>
</workbook>
</file>

<file path=xl/calcChain.xml><?xml version="1.0" encoding="utf-8"?>
<calcChain xmlns="http://schemas.openxmlformats.org/spreadsheetml/2006/main">
  <c r="B10" i="5" l="1"/>
  <c r="B9" i="5"/>
  <c r="B8" i="5"/>
  <c r="B7" i="5"/>
  <c r="B6" i="5"/>
  <c r="B5" i="5"/>
  <c r="B4" i="5"/>
  <c r="B3" i="5"/>
  <c r="B2" i="5"/>
  <c r="B12" i="5" l="1"/>
</calcChain>
</file>

<file path=xl/sharedStrings.xml><?xml version="1.0" encoding="utf-8"?>
<sst xmlns="http://schemas.openxmlformats.org/spreadsheetml/2006/main" count="765" uniqueCount="202">
  <si>
    <t>Transaction ID</t>
  </si>
  <si>
    <t>User ID</t>
  </si>
  <si>
    <t>Payment Method</t>
  </si>
  <si>
    <t>Status</t>
  </si>
  <si>
    <t>IP Address</t>
  </si>
  <si>
    <t>Amount (NGN)</t>
  </si>
  <si>
    <t>T1000</t>
  </si>
  <si>
    <t>U7</t>
  </si>
  <si>
    <t>Cash</t>
  </si>
  <si>
    <t>Pending</t>
  </si>
  <si>
    <t>192.168.1.177</t>
  </si>
  <si>
    <t>T1001</t>
  </si>
  <si>
    <t>U20</t>
  </si>
  <si>
    <t>Digital</t>
  </si>
  <si>
    <t>Failed</t>
  </si>
  <si>
    <t>192.168.1.99</t>
  </si>
  <si>
    <t>Multiple accounts from same IP</t>
  </si>
  <si>
    <t>T1002</t>
  </si>
  <si>
    <t>U15</t>
  </si>
  <si>
    <t>T1003</t>
  </si>
  <si>
    <t>U11</t>
  </si>
  <si>
    <t>Multiple failed attempts</t>
  </si>
  <si>
    <t>T1004</t>
  </si>
  <si>
    <t>U8</t>
  </si>
  <si>
    <t>Successful</t>
  </si>
  <si>
    <t>192.168.1.210</t>
  </si>
  <si>
    <t>T1005</t>
  </si>
  <si>
    <t>192.168.1.241</t>
  </si>
  <si>
    <t>T1006</t>
  </si>
  <si>
    <t>U19</t>
  </si>
  <si>
    <t>192.168.1.231</t>
  </si>
  <si>
    <t>T1007</t>
  </si>
  <si>
    <t>192.168.1.96</t>
  </si>
  <si>
    <t>T1008</t>
  </si>
  <si>
    <t>192.168.1.152</t>
  </si>
  <si>
    <t>T1009</t>
  </si>
  <si>
    <t>U4</t>
  </si>
  <si>
    <t>T1010</t>
  </si>
  <si>
    <t>T1011</t>
  </si>
  <si>
    <t>U3</t>
  </si>
  <si>
    <t>192.168.1.224</t>
  </si>
  <si>
    <t>T1012</t>
  </si>
  <si>
    <t>U2</t>
  </si>
  <si>
    <t>T1013</t>
  </si>
  <si>
    <t>U12</t>
  </si>
  <si>
    <t>192.168.1.12</t>
  </si>
  <si>
    <t>T1014</t>
  </si>
  <si>
    <t>U6</t>
  </si>
  <si>
    <t>192.168.1.113</t>
  </si>
  <si>
    <t>T1015</t>
  </si>
  <si>
    <t>192.168.1.183</t>
  </si>
  <si>
    <t>Large cash transaction</t>
  </si>
  <si>
    <t>T1016</t>
  </si>
  <si>
    <t>U1</t>
  </si>
  <si>
    <t>192.168.1.13</t>
  </si>
  <si>
    <t>T1017</t>
  </si>
  <si>
    <t>192.168.1.23</t>
  </si>
  <si>
    <t>T1018</t>
  </si>
  <si>
    <t>192.168.1.217</t>
  </si>
  <si>
    <t>T1019</t>
  </si>
  <si>
    <t>U17</t>
  </si>
  <si>
    <t>T1020</t>
  </si>
  <si>
    <t>U10</t>
  </si>
  <si>
    <t>192.168.1.105</t>
  </si>
  <si>
    <t>T1021</t>
  </si>
  <si>
    <t>U16</t>
  </si>
  <si>
    <t>192.168.1.30</t>
  </si>
  <si>
    <t>T1022</t>
  </si>
  <si>
    <t>192.168.1.17</t>
  </si>
  <si>
    <t>T1023</t>
  </si>
  <si>
    <t>T1024</t>
  </si>
  <si>
    <t>T1025</t>
  </si>
  <si>
    <t>192.168.1.84</t>
  </si>
  <si>
    <t>T1026</t>
  </si>
  <si>
    <t>192.168.1.112</t>
  </si>
  <si>
    <t>T1027</t>
  </si>
  <si>
    <t>T1028</t>
  </si>
  <si>
    <t>U5</t>
  </si>
  <si>
    <t>192.168.1.86</t>
  </si>
  <si>
    <t>T1029</t>
  </si>
  <si>
    <t>T1030</t>
  </si>
  <si>
    <t>192.168.1.187</t>
  </si>
  <si>
    <t>T1031</t>
  </si>
  <si>
    <t>U9</t>
  </si>
  <si>
    <t>T1032</t>
  </si>
  <si>
    <t>T1033</t>
  </si>
  <si>
    <t>U18</t>
  </si>
  <si>
    <t>192.168.1.100</t>
  </si>
  <si>
    <t>T1034</t>
  </si>
  <si>
    <t>192.168.1.140</t>
  </si>
  <si>
    <t>T1035</t>
  </si>
  <si>
    <t>U14</t>
  </si>
  <si>
    <t>192.168.1.189</t>
  </si>
  <si>
    <t>T1036</t>
  </si>
  <si>
    <t>192.168.1.233</t>
  </si>
  <si>
    <t>T1037</t>
  </si>
  <si>
    <t>T1038</t>
  </si>
  <si>
    <t>192.168.1.76</t>
  </si>
  <si>
    <t>T1039</t>
  </si>
  <si>
    <t>192.168.1.9</t>
  </si>
  <si>
    <t>T1040</t>
  </si>
  <si>
    <t>T1041</t>
  </si>
  <si>
    <t>T1042</t>
  </si>
  <si>
    <t>T1043</t>
  </si>
  <si>
    <t>192.168.1.223</t>
  </si>
  <si>
    <t>T1044</t>
  </si>
  <si>
    <t>192.168.1.128</t>
  </si>
  <si>
    <t>T1045</t>
  </si>
  <si>
    <t>T1046</t>
  </si>
  <si>
    <t>T1047</t>
  </si>
  <si>
    <t>192.168.1.250</t>
  </si>
  <si>
    <t>T1048</t>
  </si>
  <si>
    <t>192.168.1.111</t>
  </si>
  <si>
    <t>T1049</t>
  </si>
  <si>
    <t>192.168.1.144</t>
  </si>
  <si>
    <t>T1050</t>
  </si>
  <si>
    <t>T1051</t>
  </si>
  <si>
    <t>T1052</t>
  </si>
  <si>
    <t>T1053</t>
  </si>
  <si>
    <t>T1054</t>
  </si>
  <si>
    <t>T1055</t>
  </si>
  <si>
    <t>T1056</t>
  </si>
  <si>
    <t>192.168.1.123</t>
  </si>
  <si>
    <t>T1057</t>
  </si>
  <si>
    <t>T1058</t>
  </si>
  <si>
    <t>T1059</t>
  </si>
  <si>
    <t>T1060</t>
  </si>
  <si>
    <t>T1061</t>
  </si>
  <si>
    <t>T1062</t>
  </si>
  <si>
    <t>192.168.1.57</t>
  </si>
  <si>
    <t>T1063</t>
  </si>
  <si>
    <t>T1064</t>
  </si>
  <si>
    <t>T1065</t>
  </si>
  <si>
    <t>T1066</t>
  </si>
  <si>
    <t>T1067</t>
  </si>
  <si>
    <t>192.168.1.186</t>
  </si>
  <si>
    <t>T1068</t>
  </si>
  <si>
    <t>U13</t>
  </si>
  <si>
    <t>T1069</t>
  </si>
  <si>
    <t>192.168.1.142</t>
  </si>
  <si>
    <t>T1070</t>
  </si>
  <si>
    <t>T1071</t>
  </si>
  <si>
    <t>192.168.1.122</t>
  </si>
  <si>
    <t>T1072</t>
  </si>
  <si>
    <t>T1073</t>
  </si>
  <si>
    <t>192.168.1.163</t>
  </si>
  <si>
    <t>T1074</t>
  </si>
  <si>
    <t>192.168.1.215</t>
  </si>
  <si>
    <t>T1075</t>
  </si>
  <si>
    <t>T1076</t>
  </si>
  <si>
    <t>T1077</t>
  </si>
  <si>
    <t>192.168.1.75</t>
  </si>
  <si>
    <t>T1078</t>
  </si>
  <si>
    <t>192.168.1.146</t>
  </si>
  <si>
    <t>T1079</t>
  </si>
  <si>
    <t>192.168.1.239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</si>
  <si>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</si>
  <si>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</si>
  <si>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</si>
  <si>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</si>
  <si>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</si>
  <si>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</si>
  <si>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</si>
  <si>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</si>
  <si>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</si>
  <si>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</si>
  <si>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</si>
  <si>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192.168.1.101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</si>
  <si>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</si>
  <si>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</si>
  <si>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</si>
  <si>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</si>
  <si>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</si>
  <si>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</si>
  <si>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</si>
  <si>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</si>
  <si>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</si>
  <si>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Login from different IP address</t>
  </si>
  <si>
    <t>Repeated transaction in a short time</t>
  </si>
  <si>
    <t>Unusual time of transaction</t>
  </si>
  <si>
    <t>Suspicious payment method usage</t>
  </si>
  <si>
    <t>Multiple withdrawal in a short time</t>
  </si>
  <si>
    <t>Card</t>
  </si>
  <si>
    <t xml:space="preserve">No </t>
  </si>
  <si>
    <t>Yes</t>
  </si>
  <si>
    <t>No</t>
  </si>
  <si>
    <t>Row Labels</t>
  </si>
  <si>
    <t>Grand Total</t>
  </si>
  <si>
    <t>Column Labels</t>
  </si>
  <si>
    <t>Count of Transaction ID</t>
  </si>
  <si>
    <t xml:space="preserve">Fraud Reason </t>
  </si>
  <si>
    <t>failed payment threshold</t>
  </si>
  <si>
    <t>192.168.1.322</t>
  </si>
  <si>
    <t>192.168.1.334</t>
  </si>
  <si>
    <t>Total</t>
  </si>
  <si>
    <t>Alert Trigger</t>
  </si>
  <si>
    <t>Reason for Trigger</t>
  </si>
  <si>
    <t>Date and Timestamp</t>
  </si>
  <si>
    <t>Total Count</t>
  </si>
  <si>
    <t>None</t>
  </si>
  <si>
    <t>Failed payment Threshold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</si>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</sst>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[$-409]m/d/yy\ 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171" fontId="0" fillId="0" borderId="0" xfId="0" applyNumberFormat="1"/>
    <xf numFmtId="17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71" formatCode="[$-409]m/d/yy\ h:mm\ AM/PM;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bizT" refreshedDate="46001.862963194442" createdVersion="5" refreshedVersion="5" minRefreshableVersion="3" recordCount="100">
  <cacheSource type="worksheet">
    <worksheetSource name="Table1"/>
  </cacheSource>
  <cacheFields count="9">
    <cacheField name="Transaction ID" numFmtId="0">
      <sharedItems count="100">
        <s v="T1000"/>
        <s v="T1001"/>
        <s v="T1002"/>
        <s v="T1003"/>
        <s v="T1004"/>
        <s v="T1005"/>
        <s v="T1006"/>
        <s v="T1007"/>
        <s v="T1008"/>
        <s v="T1009"/>
        <s v="T1010"/>
        <s v="T1011"/>
        <s v="T1012"/>
        <s v="T1013"/>
        <s v="T1014"/>
        <s v="T1015"/>
        <s v="T1016"/>
        <s v="T1017"/>
        <s v="T1018"/>
        <s v="T1019"/>
        <s v="T1020"/>
        <s v="T1021"/>
        <s v="T1022"/>
        <s v="T1023"/>
        <s v="T1024"/>
        <s v="T1025"/>
        <s v="T1026"/>
        <s v="T1027"/>
        <s v="T1028"/>
        <s v="T1029"/>
        <s v="T1030"/>
        <s v="T1031"/>
        <s v="T1032"/>
        <s v="T1033"/>
        <s v="T1034"/>
        <s v="T1035"/>
        <s v="T1036"/>
        <s v="T1037"/>
        <s v="T1038"/>
        <s v="T1039"/>
        <s v="T1040"/>
        <s v="T1041"/>
        <s v="T1042"/>
        <s v="T1043"/>
        <s v="T1044"/>
        <s v="T1045"/>
        <s v="T1046"/>
        <s v="T1047"/>
        <s v="T1048"/>
        <s v="T1049"/>
        <s v="T1050"/>
        <s v="T1051"/>
        <s v="T1052"/>
        <s v="T1053"/>
        <s v="T1054"/>
        <s v="T1055"/>
        <s v="T1056"/>
        <s v="T1057"/>
        <s v="T1058"/>
        <s v="T1059"/>
        <s v="T1060"/>
        <s v="T1061"/>
        <s v="T1062"/>
        <s v="T1063"/>
        <s v="T1064"/>
        <s v="T1065"/>
        <s v="T1066"/>
        <s v="T1067"/>
        <s v="T1068"/>
        <s v="T1069"/>
        <s v="T1070"/>
        <s v="T1071"/>
        <s v="T1072"/>
        <s v="T1073"/>
        <s v="T1074"/>
        <s v="T1075"/>
        <s v="T1076"/>
        <s v="T1077"/>
        <s v="T1078"/>
        <s v="T1079"/>
        <s v="T1080"/>
        <s v="T1081"/>
        <s v="T1082"/>
        <s v="T1083"/>
        <s v="T1084"/>
        <s v="T1085"/>
        <s v="T1086"/>
        <s v="T1087"/>
        <s v="T1088"/>
        <s v="T1089"/>
        <s v="T1090"/>
        <s v="T1091"/>
        <s v="T1092"/>
        <s v="T1093"/>
        <s v="T1094"/>
        <s v="T1095"/>
        <s v="T1096"/>
        <s v="T1097"/>
        <s v="T1098"/>
        <s v="T1099"/>
      </sharedItems>
    </cacheField>
    <cacheField name="User ID" numFmtId="0">
      <sharedItems count="20">
        <s v="U7"/>
        <s v="U20"/>
        <s v="U15"/>
        <s v="U11"/>
        <s v="U8"/>
        <s v="U19"/>
        <s v="U4"/>
        <s v="U3"/>
        <s v="U2"/>
        <s v="U12"/>
        <s v="U6"/>
        <s v="U1"/>
        <s v="U17"/>
        <s v="U10"/>
        <s v="U16"/>
        <s v="U5"/>
        <s v="U9"/>
        <s v="U18"/>
        <s v="U14"/>
        <s v="U13"/>
      </sharedItems>
    </cacheField>
    <cacheField name="Payment Method" numFmtId="0">
      <sharedItems/>
    </cacheField>
    <cacheField name="Status" numFmtId="0">
      <sharedItems/>
    </cacheField>
    <cacheField name="Date and Timestamp" numFmtId="171">
      <sharedItems containsSemiMixedTypes="0" containsNonDate="0" containsDate="1" containsString="0" minDate="2025-11-11T02:26:15" maxDate="2025-12-20T08:06:15"/>
    </cacheField>
    <cacheField name="IP Address" numFmtId="0">
      <sharedItems/>
    </cacheField>
    <cacheField name="Amount (NGN)" numFmtId="0">
      <sharedItems containsSemiMixedTypes="0" containsString="0" containsNumber="1" containsInteger="1" minValue="9296" maxValue="220000"/>
    </cacheField>
    <cacheField name="Alert Trigger" numFmtId="0">
      <sharedItems/>
    </cacheField>
    <cacheField name="Reason for Trigger" numFmtId="0">
      <sharedItems count="10">
        <s v="None"/>
        <s v="Multiple accounts from same IP"/>
        <s v="Repeated transaction in a short time"/>
        <s v="Suspicious payment method usage"/>
        <s v="Unusual time of transaction"/>
        <s v="Large cash transaction"/>
        <s v="Multiple withdrawal in a short time"/>
        <s v="Login from different IP address"/>
        <s v="failed payment threshold"/>
        <s v="Multiple failed attemp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s v="Cash"/>
    <s v="Pending"/>
    <d v="2025-11-21T08:06:15"/>
    <s v="192.168.1.177"/>
    <n v="70176"/>
    <s v="No "/>
    <x v="0"/>
  </r>
  <r>
    <x v="1"/>
    <x v="1"/>
    <s v="Digital"/>
    <s v="Failed"/>
    <d v="2025-12-06T08:06:15"/>
    <s v="192.168.1.99"/>
    <n v="42792"/>
    <s v="Yes"/>
    <x v="1"/>
  </r>
  <r>
    <x v="2"/>
    <x v="2"/>
    <s v="Digital"/>
    <s v="Pending"/>
    <d v="2025-11-29T08:06:15"/>
    <s v="192.168.1.17"/>
    <n v="44120"/>
    <s v="No"/>
    <x v="0"/>
  </r>
  <r>
    <x v="3"/>
    <x v="3"/>
    <s v="Digital"/>
    <s v="Failed"/>
    <d v="2025-11-25T08:06:15"/>
    <s v="192.168.1.152"/>
    <n v="79408"/>
    <s v="Yes"/>
    <x v="2"/>
  </r>
  <r>
    <x v="4"/>
    <x v="4"/>
    <s v="Cash"/>
    <s v="Successful"/>
    <d v="2025-11-15T08:06:15"/>
    <s v="192.168.1.210"/>
    <n v="9296"/>
    <s v="No"/>
    <x v="0"/>
  </r>
  <r>
    <x v="5"/>
    <x v="0"/>
    <s v="Card"/>
    <s v="Failed"/>
    <d v="2025-11-15T08:06:15"/>
    <s v="192.168.1.241"/>
    <n v="39576"/>
    <s v="Yes"/>
    <x v="3"/>
  </r>
  <r>
    <x v="6"/>
    <x v="5"/>
    <s v="Cash"/>
    <s v="Failed"/>
    <d v="2025-11-25T08:06:15"/>
    <s v="192.168.1.231"/>
    <n v="40960"/>
    <s v="No"/>
    <x v="0"/>
  </r>
  <r>
    <x v="7"/>
    <x v="3"/>
    <s v="Digital"/>
    <s v="Failed"/>
    <d v="2025-11-20T08:06:15"/>
    <s v="192.168.1.96"/>
    <n v="79408"/>
    <s v="Yes"/>
    <x v="2"/>
  </r>
  <r>
    <x v="8"/>
    <x v="3"/>
    <s v="Digital"/>
    <s v="Failed"/>
    <d v="2025-12-04T08:06:15"/>
    <s v="192.168.1.152"/>
    <n v="79408"/>
    <s v="Yes"/>
    <x v="2"/>
  </r>
  <r>
    <x v="9"/>
    <x v="6"/>
    <s v="Cash"/>
    <s v="Failed"/>
    <d v="2025-12-07T02:06:15"/>
    <s v="192.168.1.111"/>
    <n v="44824"/>
    <s v="Yes"/>
    <x v="4"/>
  </r>
  <r>
    <x v="10"/>
    <x v="4"/>
    <s v="Digital"/>
    <s v="Successful"/>
    <d v="2025-12-10T08:06:15"/>
    <s v="192.168.1.210"/>
    <n v="39448"/>
    <s v="No"/>
    <x v="0"/>
  </r>
  <r>
    <x v="11"/>
    <x v="7"/>
    <s v="Cash"/>
    <s v="Failed"/>
    <d v="2025-11-11T02:26:15"/>
    <s v="192.168.1.224"/>
    <n v="22100"/>
    <s v="Yes"/>
    <x v="4"/>
  </r>
  <r>
    <x v="12"/>
    <x v="8"/>
    <s v="Cash"/>
    <s v="Failed"/>
    <d v="2025-11-11T08:06:15"/>
    <s v="192.168.1.183"/>
    <n v="58288"/>
    <s v="No"/>
    <x v="0"/>
  </r>
  <r>
    <x v="13"/>
    <x v="9"/>
    <s v="Cash"/>
    <s v="Pending"/>
    <d v="2025-12-06T08:06:15"/>
    <s v="192.168.1.239"/>
    <n v="52032"/>
    <s v="No"/>
    <x v="0"/>
  </r>
  <r>
    <x v="14"/>
    <x v="10"/>
    <s v="Digital"/>
    <s v="Pending"/>
    <d v="2025-11-18T08:06:15"/>
    <s v="192.168.1.140"/>
    <n v="220000"/>
    <s v="Yes"/>
    <x v="5"/>
  </r>
  <r>
    <x v="15"/>
    <x v="8"/>
    <s v="Cash"/>
    <s v="Pending"/>
    <d v="2025-11-15T08:06:15"/>
    <s v="192.168.1.183"/>
    <n v="200000"/>
    <s v="Yes"/>
    <x v="5"/>
  </r>
  <r>
    <x v="16"/>
    <x v="11"/>
    <s v="Cash"/>
    <s v="Successful"/>
    <d v="2025-12-01T08:06:15"/>
    <s v="192.168.1.13"/>
    <n v="62448"/>
    <s v="No"/>
    <x v="0"/>
  </r>
  <r>
    <x v="17"/>
    <x v="9"/>
    <s v="Digital"/>
    <s v="Pending"/>
    <d v="2025-11-19T08:06:15"/>
    <s v="192.168.1.23"/>
    <n v="17568"/>
    <s v="Yes"/>
    <x v="6"/>
  </r>
  <r>
    <x v="18"/>
    <x v="9"/>
    <s v="Cash"/>
    <s v="Pending"/>
    <d v="2025-12-06T08:06:15"/>
    <s v="192.168.1.217"/>
    <n v="49392"/>
    <s v="Yes"/>
    <x v="6"/>
  </r>
  <r>
    <x v="19"/>
    <x v="12"/>
    <s v="Cash"/>
    <s v="Pending"/>
    <d v="2025-12-07T08:06:15"/>
    <s v="192.168.1.99"/>
    <n v="75048"/>
    <s v="Yes"/>
    <x v="1"/>
  </r>
  <r>
    <x v="20"/>
    <x v="13"/>
    <s v="Cash"/>
    <s v="Failed"/>
    <d v="2025-12-09T08:06:15"/>
    <s v="192.168.1.105"/>
    <n v="24152"/>
    <s v="No"/>
    <x v="0"/>
  </r>
  <r>
    <x v="21"/>
    <x v="14"/>
    <s v="Cash"/>
    <s v="Pending"/>
    <d v="2025-11-21T08:06:15"/>
    <s v="192.168.1.30"/>
    <n v="86500"/>
    <s v="Yes"/>
    <x v="5"/>
  </r>
  <r>
    <x v="22"/>
    <x v="2"/>
    <s v="Cash"/>
    <s v="Successful"/>
    <d v="2025-12-01T08:06:15"/>
    <s v="192.168.1.17"/>
    <n v="41592"/>
    <s v="No"/>
    <x v="0"/>
  </r>
  <r>
    <x v="23"/>
    <x v="2"/>
    <s v="Digital"/>
    <s v="Failed"/>
    <d v="2025-11-15T00:32:15"/>
    <s v="192.168.1.113"/>
    <n v="31944"/>
    <s v="Yes"/>
    <x v="4"/>
  </r>
  <r>
    <x v="24"/>
    <x v="5"/>
    <s v="Digital"/>
    <s v="Pending"/>
    <d v="2025-11-22T08:06:15"/>
    <s v="192.168.1.231"/>
    <n v="15192"/>
    <s v="No"/>
    <x v="0"/>
  </r>
  <r>
    <x v="25"/>
    <x v="9"/>
    <s v="Digital"/>
    <s v="Failed"/>
    <d v="2025-11-15T08:06:15"/>
    <s v="192.168.1.84"/>
    <n v="41096"/>
    <s v="Yes"/>
    <x v="6"/>
  </r>
  <r>
    <x v="26"/>
    <x v="1"/>
    <s v="Cash"/>
    <s v="Successful"/>
    <d v="2025-12-10T08:06:15"/>
    <s v="192.168.1.112"/>
    <n v="23000"/>
    <s v="No"/>
    <x v="0"/>
  </r>
  <r>
    <x v="27"/>
    <x v="7"/>
    <s v="Cash"/>
    <s v="Failed"/>
    <d v="2025-11-17T08:06:15"/>
    <s v="192.168.1.334"/>
    <n v="21304"/>
    <s v="Yes"/>
    <x v="7"/>
  </r>
  <r>
    <x v="28"/>
    <x v="15"/>
    <s v="Cash"/>
    <s v="Failed"/>
    <d v="2025-12-06T08:06:15"/>
    <s v="192.168.1.86"/>
    <n v="25288"/>
    <s v="No"/>
    <x v="0"/>
  </r>
  <r>
    <x v="29"/>
    <x v="5"/>
    <s v="Digital"/>
    <s v="Failed"/>
    <d v="2025-11-28T08:06:15"/>
    <s v="192.168.1.231"/>
    <n v="64800"/>
    <s v="No"/>
    <x v="0"/>
  </r>
  <r>
    <x v="30"/>
    <x v="0"/>
    <s v="Card"/>
    <s v="Failed"/>
    <d v="2025-12-07T08:06:15"/>
    <s v="192.168.1.187"/>
    <n v="27464"/>
    <s v="Yes"/>
    <x v="3"/>
  </r>
  <r>
    <x v="31"/>
    <x v="16"/>
    <s v="Cash"/>
    <s v="Pending"/>
    <d v="2025-11-25T08:06:15"/>
    <s v="192.168.1.75"/>
    <n v="34848"/>
    <s v="Yes"/>
    <x v="8"/>
  </r>
  <r>
    <x v="32"/>
    <x v="0"/>
    <s v="Card"/>
    <s v="Failed"/>
    <d v="2025-11-17T08:06:15"/>
    <s v="192.168.1.177"/>
    <n v="53016"/>
    <s v="Yes"/>
    <x v="3"/>
  </r>
  <r>
    <x v="33"/>
    <x v="17"/>
    <s v="Card"/>
    <s v="Failed"/>
    <d v="2025-11-25T08:06:15"/>
    <s v="192.168.1.100"/>
    <n v="20304"/>
    <s v="Yes"/>
    <x v="3"/>
  </r>
  <r>
    <x v="34"/>
    <x v="6"/>
    <s v="Digital"/>
    <s v="Pending"/>
    <d v="2025-11-18T01:06:15"/>
    <s v="192.168.1.111"/>
    <n v="43640"/>
    <s v="Yes"/>
    <x v="4"/>
  </r>
  <r>
    <x v="35"/>
    <x v="18"/>
    <s v="Digital"/>
    <s v="Failed"/>
    <d v="2025-12-09T08:06:15"/>
    <s v="192.168.1.189"/>
    <n v="60912"/>
    <s v="No"/>
    <x v="0"/>
  </r>
  <r>
    <x v="36"/>
    <x v="17"/>
    <s v="Card"/>
    <s v="Failed"/>
    <d v="2025-11-24T08:06:15"/>
    <s v="192.168.1.233"/>
    <n v="14280"/>
    <s v="Yes"/>
    <x v="3"/>
  </r>
  <r>
    <x v="37"/>
    <x v="16"/>
    <s v="Cash"/>
    <s v="Pending"/>
    <d v="2025-11-13T08:06:15"/>
    <s v="192.168.1.75"/>
    <n v="42952"/>
    <s v="Yes"/>
    <x v="8"/>
  </r>
  <r>
    <x v="38"/>
    <x v="8"/>
    <s v="Cash"/>
    <s v="Successful"/>
    <d v="2025-11-14T08:06:15"/>
    <s v="192.168.1.76"/>
    <n v="44160"/>
    <s v="Yes"/>
    <x v="1"/>
  </r>
  <r>
    <x v="39"/>
    <x v="1"/>
    <s v="Card"/>
    <s v="Failed"/>
    <d v="2025-11-21T08:06:15"/>
    <s v="192.168.1.9"/>
    <n v="52512"/>
    <s v="Yes"/>
    <x v="3"/>
  </r>
  <r>
    <x v="40"/>
    <x v="2"/>
    <s v="Cash"/>
    <s v="Successful"/>
    <d v="2025-11-17T08:06:15"/>
    <s v="192.168.1.17"/>
    <n v="20208"/>
    <s v="No"/>
    <x v="0"/>
  </r>
  <r>
    <x v="41"/>
    <x v="0"/>
    <s v="Cash"/>
    <s v="Pending"/>
    <d v="2025-11-29T08:06:15"/>
    <s v="192.168.1.177"/>
    <n v="18872"/>
    <s v="No"/>
    <x v="0"/>
  </r>
  <r>
    <x v="42"/>
    <x v="9"/>
    <s v="Card"/>
    <s v="Failed"/>
    <d v="2025-11-23T08:06:15"/>
    <s v="192.168.1.12"/>
    <n v="48352"/>
    <s v="Yes"/>
    <x v="3"/>
  </r>
  <r>
    <x v="43"/>
    <x v="4"/>
    <s v="Cash"/>
    <s v="Successful"/>
    <d v="2025-12-08T08:06:15"/>
    <s v="192.168.1.223"/>
    <n v="44752"/>
    <s v="Yes"/>
    <x v="1"/>
  </r>
  <r>
    <x v="44"/>
    <x v="2"/>
    <s v="Digital"/>
    <s v="Failed"/>
    <d v="2025-11-13T08:06:15"/>
    <s v="192.168.1.128"/>
    <n v="44008"/>
    <s v="Yes"/>
    <x v="9"/>
  </r>
  <r>
    <x v="45"/>
    <x v="7"/>
    <s v="Cash"/>
    <s v="Pending"/>
    <d v="2025-12-10T08:06:15"/>
    <s v="192.168.1.224"/>
    <n v="45544"/>
    <s v="No"/>
    <x v="0"/>
  </r>
  <r>
    <x v="46"/>
    <x v="18"/>
    <s v="Digital"/>
    <s v="Pending"/>
    <d v="2025-12-10T08:06:15"/>
    <s v="192.168.1.189"/>
    <n v="29120"/>
    <s v="No"/>
    <x v="0"/>
  </r>
  <r>
    <x v="47"/>
    <x v="12"/>
    <s v="Cash"/>
    <s v="Pending"/>
    <d v="2025-11-12T08:06:15"/>
    <s v="192.168.1.250"/>
    <n v="75048"/>
    <s v="Yes"/>
    <x v="2"/>
  </r>
  <r>
    <x v="48"/>
    <x v="6"/>
    <s v="Cash"/>
    <s v="Successful"/>
    <d v="2025-11-22T08:06:15"/>
    <s v="192.168.1.111"/>
    <n v="44688"/>
    <s v="No"/>
    <x v="0"/>
  </r>
  <r>
    <x v="49"/>
    <x v="17"/>
    <s v="Digital"/>
    <s v="Failed"/>
    <d v="2025-11-30T08:06:15"/>
    <s v="192.168.1.144"/>
    <n v="58536"/>
    <s v="Yes"/>
    <x v="2"/>
  </r>
  <r>
    <x v="50"/>
    <x v="4"/>
    <s v="Digital"/>
    <s v="Failed"/>
    <d v="2025-12-06T08:06:15"/>
    <s v="192.168.1.210"/>
    <n v="69856"/>
    <s v="No"/>
    <x v="0"/>
  </r>
  <r>
    <x v="51"/>
    <x v="6"/>
    <s v="Card"/>
    <s v="Failed"/>
    <d v="2025-11-29T08:06:15"/>
    <s v="192.168.1.140"/>
    <n v="47584"/>
    <s v="Yes"/>
    <x v="3"/>
  </r>
  <r>
    <x v="52"/>
    <x v="8"/>
    <s v="Digital"/>
    <s v="Pending"/>
    <d v="2025-12-08T08:06:15"/>
    <s v="192.168.1.99"/>
    <n v="20936"/>
    <s v="Yes"/>
    <x v="1"/>
  </r>
  <r>
    <x v="53"/>
    <x v="10"/>
    <s v="Digital"/>
    <s v="Pending"/>
    <d v="2025-12-10T08:06:15"/>
    <s v="192.168.1.140"/>
    <n v="180000"/>
    <s v="Yes"/>
    <x v="5"/>
  </r>
  <r>
    <x v="54"/>
    <x v="13"/>
    <s v="Cash"/>
    <s v="Pending"/>
    <d v="2025-12-10T08:06:15"/>
    <s v="192.168.1.105"/>
    <n v="24408"/>
    <s v="No"/>
    <x v="0"/>
  </r>
  <r>
    <x v="55"/>
    <x v="6"/>
    <s v="Digital"/>
    <s v="Pending"/>
    <d v="2025-12-03T08:06:15"/>
    <s v="192.168.1.111"/>
    <n v="52592"/>
    <s v="No"/>
    <x v="0"/>
  </r>
  <r>
    <x v="56"/>
    <x v="17"/>
    <s v="Digital"/>
    <s v="Failed"/>
    <d v="2025-12-01T08:06:15"/>
    <s v="192.168.1.123"/>
    <n v="58536"/>
    <s v="Yes"/>
    <x v="2"/>
  </r>
  <r>
    <x v="57"/>
    <x v="9"/>
    <s v="Cash"/>
    <s v="Pending"/>
    <d v="2025-11-30T08:06:15"/>
    <s v="192.168.1.239"/>
    <n v="26872"/>
    <s v="No"/>
    <x v="0"/>
  </r>
  <r>
    <x v="58"/>
    <x v="8"/>
    <s v="Digital"/>
    <s v="Failed"/>
    <d v="2025-11-29T08:06:15"/>
    <s v="192.168.1.183"/>
    <n v="55416"/>
    <s v="No"/>
    <x v="0"/>
  </r>
  <r>
    <x v="59"/>
    <x v="13"/>
    <s v="Digital"/>
    <s v="Successful"/>
    <d v="2025-11-12T08:06:15"/>
    <s v="192.168.1.105"/>
    <n v="46608"/>
    <s v="No"/>
    <x v="0"/>
  </r>
  <r>
    <x v="60"/>
    <x v="6"/>
    <s v="Digital"/>
    <s v="Failed"/>
    <d v="2025-12-09T10:06:15"/>
    <s v="192.168.1.111"/>
    <n v="53152"/>
    <s v="Yes"/>
    <x v="9"/>
  </r>
  <r>
    <x v="61"/>
    <x v="18"/>
    <s v="Digital"/>
    <s v="Failed"/>
    <d v="2025-12-09T02:12:15"/>
    <s v="192.168.1.189"/>
    <n v="70352"/>
    <s v="Yes"/>
    <x v="4"/>
  </r>
  <r>
    <x v="62"/>
    <x v="14"/>
    <s v="Digital"/>
    <s v="Pending"/>
    <d v="2025-12-09T12:06:15"/>
    <s v="192.168.1.57"/>
    <n v="124600"/>
    <s v="Yes"/>
    <x v="5"/>
  </r>
  <r>
    <x v="63"/>
    <x v="2"/>
    <s v="Digital"/>
    <s v="Pending"/>
    <d v="2025-12-09T10:06:15"/>
    <s v="192.168.1.17"/>
    <n v="27944"/>
    <s v="No"/>
    <x v="0"/>
  </r>
  <r>
    <x v="64"/>
    <x v="4"/>
    <s v="Digital"/>
    <s v="Pending"/>
    <d v="2025-12-09T14:06:15"/>
    <s v="192.168.1.210"/>
    <n v="25768"/>
    <s v="No"/>
    <x v="0"/>
  </r>
  <r>
    <x v="65"/>
    <x v="18"/>
    <s v="Digital"/>
    <s v="Successful"/>
    <d v="2025-12-09T09:06:15"/>
    <s v="192.168.1.189"/>
    <n v="26944"/>
    <s v="No"/>
    <x v="0"/>
  </r>
  <r>
    <x v="66"/>
    <x v="4"/>
    <s v="Cash"/>
    <s v="Successful"/>
    <d v="2025-11-23T08:06:15"/>
    <s v="192.168.1.210"/>
    <n v="38768"/>
    <s v="No"/>
    <x v="0"/>
  </r>
  <r>
    <x v="67"/>
    <x v="14"/>
    <s v="Digital"/>
    <s v="Successful"/>
    <d v="2025-12-08T08:06:15"/>
    <s v="192.168.1.186"/>
    <n v="45456"/>
    <s v="No"/>
    <x v="0"/>
  </r>
  <r>
    <x v="68"/>
    <x v="19"/>
    <s v="Digital"/>
    <s v="Failed"/>
    <d v="2025-11-18T08:06:15"/>
    <s v="192.168.1.215"/>
    <n v="44424"/>
    <s v="No"/>
    <x v="0"/>
  </r>
  <r>
    <x v="69"/>
    <x v="17"/>
    <s v="Digital"/>
    <s v="Failed"/>
    <d v="2025-11-24T08:06:15"/>
    <s v="192.168.1.142"/>
    <n v="58536"/>
    <s v="Yes"/>
    <x v="2"/>
  </r>
  <r>
    <x v="70"/>
    <x v="2"/>
    <s v="Digital"/>
    <s v="Successful"/>
    <d v="2025-11-15T08:06:15"/>
    <s v="192.168.1.17"/>
    <n v="40208"/>
    <s v="No"/>
    <x v="0"/>
  </r>
  <r>
    <x v="71"/>
    <x v="19"/>
    <s v="Cash"/>
    <s v="Pending"/>
    <d v="2025-12-03T08:06:15"/>
    <s v="192.168.1.122"/>
    <n v="63256"/>
    <s v="Yes"/>
    <x v="1"/>
  </r>
  <r>
    <x v="72"/>
    <x v="16"/>
    <s v="Cash"/>
    <s v="Failed"/>
    <d v="2025-11-12T08:06:15"/>
    <s v="192.168.1.75"/>
    <n v="35768"/>
    <s v="Yes"/>
    <x v="8"/>
  </r>
  <r>
    <x v="73"/>
    <x v="2"/>
    <s v="Digital"/>
    <s v="Failed"/>
    <d v="2025-11-15T08:06:15"/>
    <s v="192.168.1.163"/>
    <n v="83520"/>
    <s v="Yes"/>
    <x v="9"/>
  </r>
  <r>
    <x v="74"/>
    <x v="19"/>
    <s v="Cash"/>
    <s v="Failed"/>
    <d v="2025-12-01T08:06:15"/>
    <s v="192.168.1.215"/>
    <n v="50008"/>
    <s v="No"/>
    <x v="0"/>
  </r>
  <r>
    <x v="75"/>
    <x v="11"/>
    <s v="Cash"/>
    <s v="Successful"/>
    <d v="2025-11-15T08:06:15"/>
    <s v="192.168.1.13"/>
    <n v="26288"/>
    <s v="No"/>
    <x v="0"/>
  </r>
  <r>
    <x v="76"/>
    <x v="0"/>
    <s v="Cash"/>
    <s v="Successful"/>
    <d v="2025-11-11T08:06:15"/>
    <s v="192.168.1.177"/>
    <n v="22864"/>
    <s v="No"/>
    <x v="0"/>
  </r>
  <r>
    <x v="77"/>
    <x v="16"/>
    <s v="Cash"/>
    <s v="Successful"/>
    <d v="2025-12-09T08:06:15"/>
    <s v="192.168.1.75"/>
    <n v="47720"/>
    <s v="No"/>
    <x v="0"/>
  </r>
  <r>
    <x v="78"/>
    <x v="11"/>
    <s v="Digital"/>
    <s v="Failed"/>
    <d v="2025-11-22T08:06:15"/>
    <s v="192.168.1.146"/>
    <n v="36424"/>
    <s v="Yes"/>
    <x v="7"/>
  </r>
  <r>
    <x v="79"/>
    <x v="9"/>
    <s v="Cash"/>
    <s v="Successful"/>
    <d v="2025-12-02T08:06:15"/>
    <s v="192.168.1.239"/>
    <n v="51424"/>
    <s v="No"/>
    <x v="0"/>
  </r>
  <r>
    <x v="80"/>
    <x v="4"/>
    <s v="Digital"/>
    <s v="Pending"/>
    <d v="2025-12-04T08:06:15"/>
    <s v="192.168.1.76"/>
    <n v="36540"/>
    <s v="Yes"/>
    <x v="1"/>
  </r>
  <r>
    <x v="81"/>
    <x v="3"/>
    <s v="Cash"/>
    <s v="Successful"/>
    <d v="2025-12-07T08:06:15"/>
    <s v="192.168.1.152"/>
    <n v="38832"/>
    <s v="No"/>
    <x v="0"/>
  </r>
  <r>
    <x v="82"/>
    <x v="5"/>
    <s v="Cash"/>
    <s v="Successful"/>
    <d v="2025-11-15T08:06:15"/>
    <s v="192.168.1.231"/>
    <n v="26448"/>
    <s v="No"/>
    <x v="0"/>
  </r>
  <r>
    <x v="83"/>
    <x v="12"/>
    <s v="Cash"/>
    <s v="Failed"/>
    <d v="2025-12-20T08:06:15"/>
    <s v="192.168.1.322"/>
    <n v="75048"/>
    <s v="Yes"/>
    <x v="2"/>
  </r>
  <r>
    <x v="84"/>
    <x v="4"/>
    <s v="Cash"/>
    <s v="Successful"/>
    <d v="2025-11-23T08:06:15"/>
    <s v="192.168.1.210"/>
    <n v="32856"/>
    <s v="No"/>
    <x v="0"/>
  </r>
  <r>
    <x v="85"/>
    <x v="7"/>
    <s v="Digital"/>
    <s v="Pending"/>
    <d v="2025-11-28T08:06:15"/>
    <s v="192.168.1.224"/>
    <n v="53704"/>
    <s v="No"/>
    <x v="0"/>
  </r>
  <r>
    <x v="86"/>
    <x v="7"/>
    <s v="Digital"/>
    <s v="Pending"/>
    <d v="2025-11-30T08:06:15"/>
    <s v="192.168.1.224"/>
    <n v="43424"/>
    <s v="No"/>
    <x v="0"/>
  </r>
  <r>
    <x v="87"/>
    <x v="11"/>
    <s v="Cash"/>
    <s v="Failed"/>
    <d v="2025-11-12T08:06:15"/>
    <s v="192.168.1.13"/>
    <n v="20072"/>
    <s v="Yes"/>
    <x v="9"/>
  </r>
  <r>
    <x v="88"/>
    <x v="15"/>
    <s v="Cash"/>
    <s v="Pending"/>
    <d v="2025-11-17T08:06:15"/>
    <s v="192.168.1.86"/>
    <n v="42768"/>
    <s v="No"/>
    <x v="0"/>
  </r>
  <r>
    <x v="89"/>
    <x v="13"/>
    <s v="Digital"/>
    <s v="Successful"/>
    <d v="2025-12-07T08:06:15"/>
    <s v="192.168.1.105"/>
    <n v="46168"/>
    <s v="No"/>
    <x v="0"/>
  </r>
  <r>
    <x v="90"/>
    <x v="0"/>
    <s v="Cash"/>
    <s v="Failed"/>
    <d v="2025-11-16T08:06:15"/>
    <s v="192.168.1.177"/>
    <n v="25856"/>
    <s v="Yes"/>
    <x v="9"/>
  </r>
  <r>
    <x v="91"/>
    <x v="16"/>
    <s v="Cash"/>
    <s v="Pending"/>
    <d v="2025-11-20T08:06:15"/>
    <s v="192.168.1.101"/>
    <n v="42456"/>
    <s v="Yes"/>
    <x v="7"/>
  </r>
  <r>
    <x v="92"/>
    <x v="0"/>
    <s v="Cash"/>
    <s v="Successful"/>
    <d v="2025-11-12T08:06:15"/>
    <s v="192.168.1.177"/>
    <n v="40928"/>
    <s v="No"/>
    <x v="0"/>
  </r>
  <r>
    <x v="93"/>
    <x v="16"/>
    <s v="Digital"/>
    <s v="Failed"/>
    <d v="2025-11-16T08:06:15"/>
    <s v="192.168.1.75"/>
    <n v="21712"/>
    <s v="No"/>
    <x v="0"/>
  </r>
  <r>
    <x v="94"/>
    <x v="4"/>
    <s v="Digital"/>
    <s v="Successful"/>
    <d v="2025-12-07T08:06:15"/>
    <s v="192.168.1.210"/>
    <n v="45728"/>
    <s v="No"/>
    <x v="0"/>
  </r>
  <r>
    <x v="95"/>
    <x v="9"/>
    <s v="Digital"/>
    <s v="Pending"/>
    <d v="2025-12-01T08:06:15"/>
    <s v="192.168.1.239"/>
    <n v="48976"/>
    <s v="No"/>
    <x v="0"/>
  </r>
  <r>
    <x v="96"/>
    <x v="8"/>
    <s v="Cash"/>
    <s v="Successful"/>
    <d v="2025-12-06T08:06:15"/>
    <s v="192.168.1.122"/>
    <n v="57328"/>
    <s v="Yes"/>
    <x v="1"/>
  </r>
  <r>
    <x v="97"/>
    <x v="11"/>
    <s v="Cash"/>
    <s v="Failed"/>
    <d v="2025-12-02T08:06:15"/>
    <s v="192.168.1.13"/>
    <n v="56864"/>
    <s v="Yes"/>
    <x v="9"/>
  </r>
  <r>
    <x v="98"/>
    <x v="14"/>
    <s v="Digital"/>
    <s v="Failed"/>
    <d v="2025-11-17T08:06:15"/>
    <s v="192.168.1.186"/>
    <n v="17960"/>
    <s v="No"/>
    <x v="0"/>
  </r>
  <r>
    <x v="99"/>
    <x v="15"/>
    <s v="Digital"/>
    <s v="Failed"/>
    <d v="2025-12-08T08:06:15"/>
    <s v="192.168.1.86"/>
    <n v="24992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V15" firstHeaderRow="1" firstDataRow="2" firstDataCol="1"/>
  <pivotFields count="9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21">
        <item x="11"/>
        <item x="13"/>
        <item x="3"/>
        <item x="9"/>
        <item x="19"/>
        <item x="18"/>
        <item x="2"/>
        <item x="14"/>
        <item x="12"/>
        <item x="17"/>
        <item x="5"/>
        <item x="8"/>
        <item x="1"/>
        <item x="7"/>
        <item x="6"/>
        <item x="15"/>
        <item x="10"/>
        <item x="0"/>
        <item x="4"/>
        <item x="16"/>
        <item t="default"/>
      </items>
    </pivotField>
    <pivotField showAll="0"/>
    <pivotField showAll="0"/>
    <pivotField numFmtId="171" showAll="0"/>
    <pivotField showAll="0"/>
    <pivotField showAll="0"/>
    <pivotField showAll="0"/>
    <pivotField axis="axisRow" showAll="0">
      <items count="11">
        <item x="8"/>
        <item x="5"/>
        <item x="7"/>
        <item x="1"/>
        <item x="9"/>
        <item x="6"/>
        <item x="0"/>
        <item x="2"/>
        <item x="3"/>
        <item x="4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01" totalsRowShown="0" headerRowDxfId="0">
  <autoFilter ref="A1:I101"/>
  <tableColumns count="9">
    <tableColumn id="1" name="Transaction ID"/>
    <tableColumn id="2" name="User ID"/>
    <tableColumn id="3" name="Payment Method"/>
    <tableColumn id="4" name="Status"/>
    <tableColumn id="5" name="Date and Timestamp" dataDxfId="1"/>
    <tableColumn id="6" name="IP Address"/>
    <tableColumn id="7" name="Amount (NGN)"/>
    <tableColumn id="8" name="Alert Trigger"/>
    <tableColumn id="9" name="Reason for Trig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A2" sqref="A2:I101"/>
    </sheetView>
  </sheetViews>
  <sheetFormatPr defaultRowHeight="15" x14ac:dyDescent="0.25"/>
  <cols>
    <col min="1" max="1" width="15.5703125" customWidth="1"/>
    <col min="2" max="2" width="10" customWidth="1"/>
    <col min="3" max="3" width="18.5703125" customWidth="1"/>
    <col min="4" max="4" width="12.5703125" customWidth="1"/>
    <col min="5" max="5" width="22.28515625" style="6" customWidth="1"/>
    <col min="6" max="6" width="15" customWidth="1"/>
    <col min="7" max="7" width="16.42578125" customWidth="1"/>
    <col min="8" max="8" width="14.140625" customWidth="1"/>
    <col min="9" max="9" width="43.5703125" customWidth="1"/>
  </cols>
  <sheetData>
    <row r="1" spans="1:9" x14ac:dyDescent="0.25">
      <c r="A1" t="s">
        <v>0</v>
      </c>
      <c r="B1" s="5" t="s">
        <v>1</v>
      </c>
      <c r="C1" s="5" t="s">
        <v>2</v>
      </c>
      <c r="D1" s="5" t="s">
        <v>3</v>
      </c>
      <c r="E1" s="7" t="s">
        <v>197</v>
      </c>
      <c r="F1" s="5" t="s">
        <v>4</v>
      </c>
      <c r="G1" s="5" t="s">
        <v>5</v>
      </c>
      <c r="H1" s="5" t="s">
        <v>195</v>
      </c>
      <c r="I1" s="5" t="s">
        <v>196</v>
      </c>
    </row>
    <row r="2" spans="1:9" ht="15" customHeight="1" x14ac:dyDescent="0.25">
      <c r="A2" t="s">
        <v>6</v>
      </c>
      <c r="B2" t="s">
        <v>7</v>
      </c>
      <c r="C2" t="s">
        <v>8</v>
      </c>
      <c r="D2" t="s">
        <v>9</v>
      </c>
      <c r="E2" s="6">
        <v>45982.337679062497</v>
      </c>
      <c r="F2" t="s">
        <v>10</v>
      </c>
      <c r="G2">
        <v>70176</v>
      </c>
      <c r="H2" t="s">
        <v>183</v>
      </c>
      <c r="I2" t="s">
        <v>199</v>
      </c>
    </row>
    <row r="3" spans="1:9" ht="15" customHeight="1" x14ac:dyDescent="0.25">
      <c r="A3" t="s">
        <v>11</v>
      </c>
      <c r="B3" t="s">
        <v>12</v>
      </c>
      <c r="C3" t="s">
        <v>13</v>
      </c>
      <c r="D3" t="s">
        <v>14</v>
      </c>
      <c r="E3" s="6">
        <v>45997.337679062497</v>
      </c>
      <c r="F3" t="s">
        <v>15</v>
      </c>
      <c r="G3">
        <v>42792</v>
      </c>
      <c r="H3" t="s">
        <v>184</v>
      </c>
      <c r="I3" t="s">
        <v>16</v>
      </c>
    </row>
    <row r="4" spans="1:9" ht="15" customHeight="1" x14ac:dyDescent="0.25">
      <c r="A4" t="s">
        <v>17</v>
      </c>
      <c r="B4" t="s">
        <v>18</v>
      </c>
      <c r="C4" t="s">
        <v>13</v>
      </c>
      <c r="D4" t="s">
        <v>9</v>
      </c>
      <c r="E4" s="6">
        <v>45990.337679062497</v>
      </c>
      <c r="F4" t="s">
        <v>68</v>
      </c>
      <c r="G4">
        <v>44120</v>
      </c>
      <c r="H4" t="s">
        <v>185</v>
      </c>
      <c r="I4" t="s">
        <v>199</v>
      </c>
    </row>
    <row r="5" spans="1:9" ht="15" customHeight="1" x14ac:dyDescent="0.25">
      <c r="A5" t="s">
        <v>19</v>
      </c>
      <c r="B5" t="s">
        <v>20</v>
      </c>
      <c r="C5" t="s">
        <v>13</v>
      </c>
      <c r="D5" t="s">
        <v>14</v>
      </c>
      <c r="E5" s="6">
        <v>45986.337679062497</v>
      </c>
      <c r="F5" t="s">
        <v>34</v>
      </c>
      <c r="G5">
        <v>79408</v>
      </c>
      <c r="H5" t="s">
        <v>184</v>
      </c>
      <c r="I5" t="s">
        <v>178</v>
      </c>
    </row>
    <row r="6" spans="1:9" ht="15" customHeight="1" x14ac:dyDescent="0.25">
      <c r="A6" t="s">
        <v>22</v>
      </c>
      <c r="B6" t="s">
        <v>23</v>
      </c>
      <c r="C6" t="s">
        <v>8</v>
      </c>
      <c r="D6" t="s">
        <v>24</v>
      </c>
      <c r="E6" s="6">
        <v>45976.337679062497</v>
      </c>
      <c r="F6" t="s">
        <v>25</v>
      </c>
      <c r="G6">
        <v>9296</v>
      </c>
      <c r="H6" t="s">
        <v>185</v>
      </c>
      <c r="I6" t="s">
        <v>199</v>
      </c>
    </row>
    <row r="7" spans="1:9" ht="15" customHeight="1" x14ac:dyDescent="0.25">
      <c r="A7" t="s">
        <v>26</v>
      </c>
      <c r="B7" t="s">
        <v>7</v>
      </c>
      <c r="C7" t="s">
        <v>182</v>
      </c>
      <c r="D7" t="s">
        <v>14</v>
      </c>
      <c r="E7" s="6">
        <v>45976.337679062497</v>
      </c>
      <c r="F7" t="s">
        <v>27</v>
      </c>
      <c r="G7">
        <v>39576</v>
      </c>
      <c r="H7" t="s">
        <v>184</v>
      </c>
      <c r="I7" t="s">
        <v>180</v>
      </c>
    </row>
    <row r="8" spans="1:9" ht="15" customHeight="1" x14ac:dyDescent="0.25">
      <c r="A8" t="s">
        <v>28</v>
      </c>
      <c r="B8" t="s">
        <v>29</v>
      </c>
      <c r="C8" t="s">
        <v>8</v>
      </c>
      <c r="D8" t="s">
        <v>14</v>
      </c>
      <c r="E8" s="6">
        <v>45986.337679062497</v>
      </c>
      <c r="F8" t="s">
        <v>30</v>
      </c>
      <c r="G8">
        <v>40960</v>
      </c>
      <c r="H8" t="s">
        <v>185</v>
      </c>
      <c r="I8" t="s">
        <v>199</v>
      </c>
    </row>
    <row r="9" spans="1:9" ht="15" customHeight="1" x14ac:dyDescent="0.25">
      <c r="A9" t="s">
        <v>31</v>
      </c>
      <c r="B9" t="s">
        <v>20</v>
      </c>
      <c r="C9" t="s">
        <v>13</v>
      </c>
      <c r="D9" t="s">
        <v>14</v>
      </c>
      <c r="E9" s="6">
        <v>45981.337679062497</v>
      </c>
      <c r="F9" t="s">
        <v>32</v>
      </c>
      <c r="G9">
        <v>79408</v>
      </c>
      <c r="H9" t="s">
        <v>184</v>
      </c>
      <c r="I9" t="s">
        <v>178</v>
      </c>
    </row>
    <row r="10" spans="1:9" ht="15" customHeight="1" x14ac:dyDescent="0.25">
      <c r="A10" t="s">
        <v>33</v>
      </c>
      <c r="B10" t="s">
        <v>20</v>
      </c>
      <c r="C10" t="s">
        <v>13</v>
      </c>
      <c r="D10" t="s">
        <v>14</v>
      </c>
      <c r="E10" s="6">
        <v>45995.337679062497</v>
      </c>
      <c r="F10" t="s">
        <v>34</v>
      </c>
      <c r="G10">
        <v>79408</v>
      </c>
      <c r="H10" t="s">
        <v>184</v>
      </c>
      <c r="I10" t="s">
        <v>178</v>
      </c>
    </row>
    <row r="11" spans="1:9" ht="15" customHeight="1" x14ac:dyDescent="0.25">
      <c r="A11" t="s">
        <v>35</v>
      </c>
      <c r="B11" t="s">
        <v>36</v>
      </c>
      <c r="C11" t="s">
        <v>8</v>
      </c>
      <c r="D11" t="s">
        <v>14</v>
      </c>
      <c r="E11" s="6">
        <v>45998.087673611109</v>
      </c>
      <c r="F11" t="s">
        <v>112</v>
      </c>
      <c r="G11">
        <v>44824</v>
      </c>
      <c r="H11" t="s">
        <v>184</v>
      </c>
      <c r="I11" t="s">
        <v>179</v>
      </c>
    </row>
    <row r="12" spans="1:9" ht="15" customHeight="1" x14ac:dyDescent="0.25">
      <c r="A12" t="s">
        <v>37</v>
      </c>
      <c r="B12" t="s">
        <v>23</v>
      </c>
      <c r="C12" t="s">
        <v>13</v>
      </c>
      <c r="D12" t="s">
        <v>24</v>
      </c>
      <c r="E12" s="6">
        <v>46001.337679062497</v>
      </c>
      <c r="F12" t="s">
        <v>25</v>
      </c>
      <c r="G12">
        <v>39448</v>
      </c>
      <c r="H12" t="s">
        <v>185</v>
      </c>
      <c r="I12" t="s">
        <v>199</v>
      </c>
    </row>
    <row r="13" spans="1:9" ht="15" customHeight="1" x14ac:dyDescent="0.25">
      <c r="A13" t="s">
        <v>38</v>
      </c>
      <c r="B13" t="s">
        <v>39</v>
      </c>
      <c r="C13" t="s">
        <v>8</v>
      </c>
      <c r="D13" t="s">
        <v>14</v>
      </c>
      <c r="E13" s="6">
        <v>45972.1015625</v>
      </c>
      <c r="F13" t="s">
        <v>40</v>
      </c>
      <c r="G13">
        <v>22100</v>
      </c>
      <c r="H13" t="s">
        <v>184</v>
      </c>
      <c r="I13" t="s">
        <v>179</v>
      </c>
    </row>
    <row r="14" spans="1:9" ht="15" customHeight="1" x14ac:dyDescent="0.25">
      <c r="A14" t="s">
        <v>41</v>
      </c>
      <c r="B14" t="s">
        <v>42</v>
      </c>
      <c r="C14" t="s">
        <v>8</v>
      </c>
      <c r="D14" t="s">
        <v>14</v>
      </c>
      <c r="E14" s="6">
        <v>45972.337679062497</v>
      </c>
      <c r="F14" t="s">
        <v>50</v>
      </c>
      <c r="G14">
        <v>58288</v>
      </c>
      <c r="H14" t="s">
        <v>185</v>
      </c>
      <c r="I14" t="s">
        <v>199</v>
      </c>
    </row>
    <row r="15" spans="1:9" ht="15" customHeight="1" x14ac:dyDescent="0.25">
      <c r="A15" t="s">
        <v>43</v>
      </c>
      <c r="B15" t="s">
        <v>44</v>
      </c>
      <c r="C15" t="s">
        <v>8</v>
      </c>
      <c r="D15" t="s">
        <v>9</v>
      </c>
      <c r="E15" s="6">
        <v>45997.337679062497</v>
      </c>
      <c r="F15" t="s">
        <v>155</v>
      </c>
      <c r="G15">
        <v>52032</v>
      </c>
      <c r="H15" t="s">
        <v>185</v>
      </c>
      <c r="I15" t="s">
        <v>199</v>
      </c>
    </row>
    <row r="16" spans="1:9" ht="15" customHeight="1" x14ac:dyDescent="0.25">
      <c r="A16" t="s">
        <v>46</v>
      </c>
      <c r="B16" t="s">
        <v>47</v>
      </c>
      <c r="C16" t="s">
        <v>13</v>
      </c>
      <c r="D16" t="s">
        <v>9</v>
      </c>
      <c r="E16" s="6">
        <v>45979.337679062497</v>
      </c>
      <c r="F16" t="s">
        <v>89</v>
      </c>
      <c r="G16">
        <v>220000</v>
      </c>
      <c r="H16" t="s">
        <v>184</v>
      </c>
      <c r="I16" t="s">
        <v>51</v>
      </c>
    </row>
    <row r="17" spans="1:9" ht="15" customHeight="1" x14ac:dyDescent="0.25">
      <c r="A17" t="s">
        <v>49</v>
      </c>
      <c r="B17" t="s">
        <v>42</v>
      </c>
      <c r="C17" t="s">
        <v>8</v>
      </c>
      <c r="D17" t="s">
        <v>9</v>
      </c>
      <c r="E17" s="6">
        <v>45976.337679062497</v>
      </c>
      <c r="F17" t="s">
        <v>50</v>
      </c>
      <c r="G17">
        <v>200000</v>
      </c>
      <c r="H17" t="s">
        <v>184</v>
      </c>
      <c r="I17" t="s">
        <v>51</v>
      </c>
    </row>
    <row r="18" spans="1:9" ht="15" customHeight="1" x14ac:dyDescent="0.25">
      <c r="A18" t="s">
        <v>52</v>
      </c>
      <c r="B18" t="s">
        <v>53</v>
      </c>
      <c r="C18" t="s">
        <v>8</v>
      </c>
      <c r="D18" t="s">
        <v>24</v>
      </c>
      <c r="E18" s="6">
        <v>45992.337679062497</v>
      </c>
      <c r="F18" t="s">
        <v>54</v>
      </c>
      <c r="G18">
        <v>62448</v>
      </c>
      <c r="H18" t="s">
        <v>185</v>
      </c>
      <c r="I18" t="s">
        <v>199</v>
      </c>
    </row>
    <row r="19" spans="1:9" ht="15" customHeight="1" x14ac:dyDescent="0.25">
      <c r="A19" t="s">
        <v>55</v>
      </c>
      <c r="B19" t="s">
        <v>44</v>
      </c>
      <c r="C19" t="s">
        <v>13</v>
      </c>
      <c r="D19" t="s">
        <v>9</v>
      </c>
      <c r="E19" s="6">
        <v>45980.337679062497</v>
      </c>
      <c r="F19" t="s">
        <v>56</v>
      </c>
      <c r="G19">
        <v>17568</v>
      </c>
      <c r="H19" t="s">
        <v>184</v>
      </c>
      <c r="I19" t="s">
        <v>181</v>
      </c>
    </row>
    <row r="20" spans="1:9" ht="15" customHeight="1" x14ac:dyDescent="0.25">
      <c r="A20" t="s">
        <v>57</v>
      </c>
      <c r="B20" t="s">
        <v>44</v>
      </c>
      <c r="C20" t="s">
        <v>8</v>
      </c>
      <c r="D20" t="s">
        <v>9</v>
      </c>
      <c r="E20" s="6">
        <v>45997.337679062497</v>
      </c>
      <c r="F20" t="s">
        <v>58</v>
      </c>
      <c r="G20">
        <v>49392</v>
      </c>
      <c r="H20" t="s">
        <v>184</v>
      </c>
      <c r="I20" t="s">
        <v>181</v>
      </c>
    </row>
    <row r="21" spans="1:9" ht="15" customHeight="1" x14ac:dyDescent="0.25">
      <c r="A21" t="s">
        <v>59</v>
      </c>
      <c r="B21" t="s">
        <v>60</v>
      </c>
      <c r="C21" t="s">
        <v>8</v>
      </c>
      <c r="D21" t="s">
        <v>9</v>
      </c>
      <c r="E21" s="6">
        <v>45998.337679062497</v>
      </c>
      <c r="F21" t="s">
        <v>15</v>
      </c>
      <c r="G21">
        <v>75048</v>
      </c>
      <c r="H21" t="s">
        <v>184</v>
      </c>
      <c r="I21" t="s">
        <v>16</v>
      </c>
    </row>
    <row r="22" spans="1:9" ht="15" customHeight="1" x14ac:dyDescent="0.25">
      <c r="A22" t="s">
        <v>61</v>
      </c>
      <c r="B22" t="s">
        <v>62</v>
      </c>
      <c r="C22" t="s">
        <v>8</v>
      </c>
      <c r="D22" t="s">
        <v>14</v>
      </c>
      <c r="E22" s="6">
        <v>46000.337679062497</v>
      </c>
      <c r="F22" t="s">
        <v>63</v>
      </c>
      <c r="G22">
        <v>24152</v>
      </c>
      <c r="H22" t="s">
        <v>185</v>
      </c>
      <c r="I22" t="s">
        <v>199</v>
      </c>
    </row>
    <row r="23" spans="1:9" x14ac:dyDescent="0.25">
      <c r="A23" t="s">
        <v>64</v>
      </c>
      <c r="B23" t="s">
        <v>65</v>
      </c>
      <c r="C23" t="s">
        <v>8</v>
      </c>
      <c r="D23" t="s">
        <v>9</v>
      </c>
      <c r="E23" s="6">
        <v>45982.337679062497</v>
      </c>
      <c r="F23" t="s">
        <v>66</v>
      </c>
      <c r="G23">
        <v>86500</v>
      </c>
      <c r="H23" t="s">
        <v>184</v>
      </c>
      <c r="I23" t="s">
        <v>51</v>
      </c>
    </row>
    <row r="24" spans="1:9" ht="15" customHeight="1" x14ac:dyDescent="0.25">
      <c r="A24" t="s">
        <v>67</v>
      </c>
      <c r="B24" t="s">
        <v>18</v>
      </c>
      <c r="C24" t="s">
        <v>8</v>
      </c>
      <c r="D24" t="s">
        <v>24</v>
      </c>
      <c r="E24" s="6">
        <v>45992.337679062497</v>
      </c>
      <c r="F24" t="s">
        <v>68</v>
      </c>
      <c r="G24">
        <v>41592</v>
      </c>
      <c r="H24" t="s">
        <v>185</v>
      </c>
      <c r="I24" t="s">
        <v>199</v>
      </c>
    </row>
    <row r="25" spans="1:9" ht="15" customHeight="1" x14ac:dyDescent="0.25">
      <c r="A25" t="s">
        <v>69</v>
      </c>
      <c r="B25" t="s">
        <v>18</v>
      </c>
      <c r="C25" t="s">
        <v>13</v>
      </c>
      <c r="D25" t="s">
        <v>14</v>
      </c>
      <c r="E25" s="6">
        <v>45976.02239583333</v>
      </c>
      <c r="F25" t="s">
        <v>48</v>
      </c>
      <c r="G25">
        <v>31944</v>
      </c>
      <c r="H25" t="s">
        <v>184</v>
      </c>
      <c r="I25" t="s">
        <v>179</v>
      </c>
    </row>
    <row r="26" spans="1:9" ht="15" customHeight="1" x14ac:dyDescent="0.25">
      <c r="A26" t="s">
        <v>70</v>
      </c>
      <c r="B26" t="s">
        <v>29</v>
      </c>
      <c r="C26" t="s">
        <v>13</v>
      </c>
      <c r="D26" t="s">
        <v>9</v>
      </c>
      <c r="E26" s="6">
        <v>45983.337679062497</v>
      </c>
      <c r="F26" t="s">
        <v>30</v>
      </c>
      <c r="G26">
        <v>15192</v>
      </c>
      <c r="H26" t="s">
        <v>185</v>
      </c>
      <c r="I26" t="s">
        <v>199</v>
      </c>
    </row>
    <row r="27" spans="1:9" ht="15" customHeight="1" x14ac:dyDescent="0.25">
      <c r="A27" t="s">
        <v>71</v>
      </c>
      <c r="B27" t="s">
        <v>44</v>
      </c>
      <c r="C27" t="s">
        <v>13</v>
      </c>
      <c r="D27" t="s">
        <v>14</v>
      </c>
      <c r="E27" s="6">
        <v>45976.337679062497</v>
      </c>
      <c r="F27" t="s">
        <v>72</v>
      </c>
      <c r="G27">
        <v>41096</v>
      </c>
      <c r="H27" t="s">
        <v>184</v>
      </c>
      <c r="I27" t="s">
        <v>181</v>
      </c>
    </row>
    <row r="28" spans="1:9" ht="15" customHeight="1" x14ac:dyDescent="0.25">
      <c r="A28" t="s">
        <v>73</v>
      </c>
      <c r="B28" t="s">
        <v>12</v>
      </c>
      <c r="C28" t="s">
        <v>8</v>
      </c>
      <c r="D28" t="s">
        <v>24</v>
      </c>
      <c r="E28" s="6">
        <v>46001.337679062497</v>
      </c>
      <c r="F28" t="s">
        <v>74</v>
      </c>
      <c r="G28">
        <v>23000</v>
      </c>
      <c r="H28" t="s">
        <v>185</v>
      </c>
      <c r="I28" t="s">
        <v>199</v>
      </c>
    </row>
    <row r="29" spans="1:9" ht="15" customHeight="1" x14ac:dyDescent="0.25">
      <c r="A29" t="s">
        <v>75</v>
      </c>
      <c r="B29" t="s">
        <v>39</v>
      </c>
      <c r="C29" t="s">
        <v>8</v>
      </c>
      <c r="D29" t="s">
        <v>14</v>
      </c>
      <c r="E29" s="6">
        <v>45978.337679062497</v>
      </c>
      <c r="F29" t="s">
        <v>193</v>
      </c>
      <c r="G29">
        <v>21304</v>
      </c>
      <c r="H29" t="s">
        <v>184</v>
      </c>
      <c r="I29" t="s">
        <v>177</v>
      </c>
    </row>
    <row r="30" spans="1:9" ht="15" customHeight="1" x14ac:dyDescent="0.25">
      <c r="A30" t="s">
        <v>76</v>
      </c>
      <c r="B30" t="s">
        <v>77</v>
      </c>
      <c r="C30" t="s">
        <v>8</v>
      </c>
      <c r="D30" t="s">
        <v>14</v>
      </c>
      <c r="E30" s="6">
        <v>45997.337679062497</v>
      </c>
      <c r="F30" t="s">
        <v>78</v>
      </c>
      <c r="G30">
        <v>25288</v>
      </c>
      <c r="H30" t="s">
        <v>185</v>
      </c>
      <c r="I30" t="s">
        <v>199</v>
      </c>
    </row>
    <row r="31" spans="1:9" ht="15" customHeight="1" x14ac:dyDescent="0.25">
      <c r="A31" t="s">
        <v>79</v>
      </c>
      <c r="B31" t="s">
        <v>29</v>
      </c>
      <c r="C31" t="s">
        <v>13</v>
      </c>
      <c r="D31" t="s">
        <v>14</v>
      </c>
      <c r="E31" s="6">
        <v>45989.337679062497</v>
      </c>
      <c r="F31" t="s">
        <v>30</v>
      </c>
      <c r="G31">
        <v>64800</v>
      </c>
      <c r="H31" t="s">
        <v>185</v>
      </c>
      <c r="I31" t="s">
        <v>199</v>
      </c>
    </row>
    <row r="32" spans="1:9" ht="15" customHeight="1" x14ac:dyDescent="0.25">
      <c r="A32" t="s">
        <v>80</v>
      </c>
      <c r="B32" t="s">
        <v>7</v>
      </c>
      <c r="C32" t="s">
        <v>182</v>
      </c>
      <c r="D32" t="s">
        <v>14</v>
      </c>
      <c r="E32" s="6">
        <v>45998.337679062497</v>
      </c>
      <c r="F32" t="s">
        <v>81</v>
      </c>
      <c r="G32">
        <v>27464</v>
      </c>
      <c r="H32" t="s">
        <v>184</v>
      </c>
      <c r="I32" t="s">
        <v>180</v>
      </c>
    </row>
    <row r="33" spans="1:9" ht="15" customHeight="1" x14ac:dyDescent="0.25">
      <c r="A33" t="s">
        <v>82</v>
      </c>
      <c r="B33" t="s">
        <v>83</v>
      </c>
      <c r="C33" t="s">
        <v>8</v>
      </c>
      <c r="D33" t="s">
        <v>9</v>
      </c>
      <c r="E33" s="6">
        <v>45986.337679062497</v>
      </c>
      <c r="F33" t="s">
        <v>151</v>
      </c>
      <c r="G33">
        <v>34848</v>
      </c>
      <c r="H33" t="s">
        <v>184</v>
      </c>
      <c r="I33" s="1" t="s">
        <v>191</v>
      </c>
    </row>
    <row r="34" spans="1:9" ht="15" customHeight="1" x14ac:dyDescent="0.25">
      <c r="A34" t="s">
        <v>84</v>
      </c>
      <c r="B34" t="s">
        <v>7</v>
      </c>
      <c r="C34" t="s">
        <v>182</v>
      </c>
      <c r="D34" t="s">
        <v>14</v>
      </c>
      <c r="E34" s="6">
        <v>45978.337679062497</v>
      </c>
      <c r="F34" t="s">
        <v>10</v>
      </c>
      <c r="G34">
        <v>53016</v>
      </c>
      <c r="H34" t="s">
        <v>184</v>
      </c>
      <c r="I34" t="s">
        <v>180</v>
      </c>
    </row>
    <row r="35" spans="1:9" ht="15" customHeight="1" x14ac:dyDescent="0.25">
      <c r="A35" t="s">
        <v>85</v>
      </c>
      <c r="B35" t="s">
        <v>86</v>
      </c>
      <c r="C35" t="s">
        <v>182</v>
      </c>
      <c r="D35" t="s">
        <v>14</v>
      </c>
      <c r="E35" s="6">
        <v>45986.337679062497</v>
      </c>
      <c r="F35" t="s">
        <v>87</v>
      </c>
      <c r="G35">
        <v>20304</v>
      </c>
      <c r="H35" t="s">
        <v>184</v>
      </c>
      <c r="I35" t="s">
        <v>180</v>
      </c>
    </row>
    <row r="36" spans="1:9" ht="15" customHeight="1" x14ac:dyDescent="0.25">
      <c r="A36" t="s">
        <v>88</v>
      </c>
      <c r="B36" t="s">
        <v>36</v>
      </c>
      <c r="C36" t="s">
        <v>13</v>
      </c>
      <c r="D36" t="s">
        <v>9</v>
      </c>
      <c r="E36" s="6">
        <v>45979.046006944445</v>
      </c>
      <c r="F36" t="s">
        <v>112</v>
      </c>
      <c r="G36">
        <v>43640</v>
      </c>
      <c r="H36" t="s">
        <v>184</v>
      </c>
      <c r="I36" t="s">
        <v>179</v>
      </c>
    </row>
    <row r="37" spans="1:9" ht="15" customHeight="1" x14ac:dyDescent="0.25">
      <c r="A37" t="s">
        <v>90</v>
      </c>
      <c r="B37" t="s">
        <v>91</v>
      </c>
      <c r="C37" t="s">
        <v>13</v>
      </c>
      <c r="D37" t="s">
        <v>14</v>
      </c>
      <c r="E37" s="6">
        <v>46000.337679062497</v>
      </c>
      <c r="F37" t="s">
        <v>92</v>
      </c>
      <c r="G37">
        <v>60912</v>
      </c>
      <c r="H37" t="s">
        <v>185</v>
      </c>
      <c r="I37" t="s">
        <v>199</v>
      </c>
    </row>
    <row r="38" spans="1:9" ht="15" customHeight="1" x14ac:dyDescent="0.25">
      <c r="A38" t="s">
        <v>93</v>
      </c>
      <c r="B38" t="s">
        <v>86</v>
      </c>
      <c r="C38" t="s">
        <v>182</v>
      </c>
      <c r="D38" t="s">
        <v>14</v>
      </c>
      <c r="E38" s="6">
        <v>45985.337679062497</v>
      </c>
      <c r="F38" t="s">
        <v>94</v>
      </c>
      <c r="G38">
        <v>14280</v>
      </c>
      <c r="H38" t="s">
        <v>184</v>
      </c>
      <c r="I38" t="s">
        <v>180</v>
      </c>
    </row>
    <row r="39" spans="1:9" ht="15" customHeight="1" x14ac:dyDescent="0.25">
      <c r="A39" t="s">
        <v>95</v>
      </c>
      <c r="B39" t="s">
        <v>83</v>
      </c>
      <c r="C39" t="s">
        <v>8</v>
      </c>
      <c r="D39" t="s">
        <v>9</v>
      </c>
      <c r="E39" s="6">
        <v>45974.337679062497</v>
      </c>
      <c r="F39" t="s">
        <v>151</v>
      </c>
      <c r="G39">
        <v>42952</v>
      </c>
      <c r="H39" t="s">
        <v>184</v>
      </c>
      <c r="I39" s="1" t="s">
        <v>191</v>
      </c>
    </row>
    <row r="40" spans="1:9" ht="15" customHeight="1" x14ac:dyDescent="0.25">
      <c r="A40" t="s">
        <v>96</v>
      </c>
      <c r="B40" t="s">
        <v>42</v>
      </c>
      <c r="C40" t="s">
        <v>8</v>
      </c>
      <c r="D40" t="s">
        <v>24</v>
      </c>
      <c r="E40" s="6">
        <v>45975.337679062497</v>
      </c>
      <c r="F40" t="s">
        <v>97</v>
      </c>
      <c r="G40">
        <v>44160</v>
      </c>
      <c r="H40" t="s">
        <v>184</v>
      </c>
      <c r="I40" t="s">
        <v>16</v>
      </c>
    </row>
    <row r="41" spans="1:9" ht="15" customHeight="1" x14ac:dyDescent="0.25">
      <c r="A41" t="s">
        <v>98</v>
      </c>
      <c r="B41" t="s">
        <v>12</v>
      </c>
      <c r="C41" t="s">
        <v>182</v>
      </c>
      <c r="D41" t="s">
        <v>14</v>
      </c>
      <c r="E41" s="6">
        <v>45982.337679062497</v>
      </c>
      <c r="F41" t="s">
        <v>99</v>
      </c>
      <c r="G41">
        <v>52512</v>
      </c>
      <c r="H41" t="s">
        <v>184</v>
      </c>
      <c r="I41" t="s">
        <v>180</v>
      </c>
    </row>
    <row r="42" spans="1:9" ht="15" customHeight="1" x14ac:dyDescent="0.25">
      <c r="A42" t="s">
        <v>100</v>
      </c>
      <c r="B42" t="s">
        <v>18</v>
      </c>
      <c r="C42" t="s">
        <v>8</v>
      </c>
      <c r="D42" t="s">
        <v>24</v>
      </c>
      <c r="E42" s="6">
        <v>45978.337679062497</v>
      </c>
      <c r="F42" t="s">
        <v>68</v>
      </c>
      <c r="G42">
        <v>20208</v>
      </c>
      <c r="H42" t="s">
        <v>185</v>
      </c>
      <c r="I42" t="s">
        <v>199</v>
      </c>
    </row>
    <row r="43" spans="1:9" ht="15" customHeight="1" x14ac:dyDescent="0.25">
      <c r="A43" t="s">
        <v>101</v>
      </c>
      <c r="B43" t="s">
        <v>7</v>
      </c>
      <c r="C43" t="s">
        <v>8</v>
      </c>
      <c r="D43" t="s">
        <v>9</v>
      </c>
      <c r="E43" s="6">
        <v>45990.337679062497</v>
      </c>
      <c r="F43" t="s">
        <v>10</v>
      </c>
      <c r="G43">
        <v>18872</v>
      </c>
      <c r="H43" t="s">
        <v>185</v>
      </c>
      <c r="I43" t="s">
        <v>199</v>
      </c>
    </row>
    <row r="44" spans="1:9" ht="15" customHeight="1" x14ac:dyDescent="0.25">
      <c r="A44" t="s">
        <v>102</v>
      </c>
      <c r="B44" t="s">
        <v>44</v>
      </c>
      <c r="C44" t="s">
        <v>182</v>
      </c>
      <c r="D44" t="s">
        <v>14</v>
      </c>
      <c r="E44" s="6">
        <v>45984.337679062497</v>
      </c>
      <c r="F44" t="s">
        <v>45</v>
      </c>
      <c r="G44">
        <v>48352</v>
      </c>
      <c r="H44" t="s">
        <v>184</v>
      </c>
      <c r="I44" t="s">
        <v>180</v>
      </c>
    </row>
    <row r="45" spans="1:9" ht="15" customHeight="1" x14ac:dyDescent="0.25">
      <c r="A45" t="s">
        <v>103</v>
      </c>
      <c r="B45" t="s">
        <v>23</v>
      </c>
      <c r="C45" t="s">
        <v>8</v>
      </c>
      <c r="D45" t="s">
        <v>24</v>
      </c>
      <c r="E45" s="6">
        <v>45999.337679062497</v>
      </c>
      <c r="F45" t="s">
        <v>104</v>
      </c>
      <c r="G45">
        <v>44752</v>
      </c>
      <c r="H45" t="s">
        <v>184</v>
      </c>
      <c r="I45" t="s">
        <v>16</v>
      </c>
    </row>
    <row r="46" spans="1:9" ht="15" customHeight="1" x14ac:dyDescent="0.25">
      <c r="A46" t="s">
        <v>105</v>
      </c>
      <c r="B46" t="s">
        <v>18</v>
      </c>
      <c r="C46" t="s">
        <v>13</v>
      </c>
      <c r="D46" t="s">
        <v>14</v>
      </c>
      <c r="E46" s="6">
        <v>45974.337679062497</v>
      </c>
      <c r="F46" t="s">
        <v>106</v>
      </c>
      <c r="G46">
        <v>44008</v>
      </c>
      <c r="H46" t="s">
        <v>184</v>
      </c>
      <c r="I46" t="s">
        <v>21</v>
      </c>
    </row>
    <row r="47" spans="1:9" ht="15" customHeight="1" x14ac:dyDescent="0.25">
      <c r="A47" t="s">
        <v>107</v>
      </c>
      <c r="B47" t="s">
        <v>39</v>
      </c>
      <c r="C47" t="s">
        <v>8</v>
      </c>
      <c r="D47" t="s">
        <v>9</v>
      </c>
      <c r="E47" s="6">
        <v>46001.337679062497</v>
      </c>
      <c r="F47" t="s">
        <v>40</v>
      </c>
      <c r="G47">
        <v>45544</v>
      </c>
      <c r="H47" t="s">
        <v>185</v>
      </c>
      <c r="I47" t="s">
        <v>199</v>
      </c>
    </row>
    <row r="48" spans="1:9" ht="15" customHeight="1" x14ac:dyDescent="0.25">
      <c r="A48" t="s">
        <v>108</v>
      </c>
      <c r="B48" t="s">
        <v>91</v>
      </c>
      <c r="C48" t="s">
        <v>13</v>
      </c>
      <c r="D48" t="s">
        <v>9</v>
      </c>
      <c r="E48" s="6">
        <v>46001.337679062497</v>
      </c>
      <c r="F48" t="s">
        <v>92</v>
      </c>
      <c r="G48">
        <v>29120</v>
      </c>
      <c r="H48" t="s">
        <v>185</v>
      </c>
      <c r="I48" t="s">
        <v>199</v>
      </c>
    </row>
    <row r="49" spans="1:9" ht="15" customHeight="1" x14ac:dyDescent="0.25">
      <c r="A49" t="s">
        <v>109</v>
      </c>
      <c r="B49" t="s">
        <v>60</v>
      </c>
      <c r="C49" t="s">
        <v>8</v>
      </c>
      <c r="D49" t="s">
        <v>9</v>
      </c>
      <c r="E49" s="6">
        <v>45973.337679062497</v>
      </c>
      <c r="F49" t="s">
        <v>110</v>
      </c>
      <c r="G49">
        <v>75048</v>
      </c>
      <c r="H49" t="s">
        <v>184</v>
      </c>
      <c r="I49" t="s">
        <v>178</v>
      </c>
    </row>
    <row r="50" spans="1:9" ht="15" customHeight="1" x14ac:dyDescent="0.25">
      <c r="A50" t="s">
        <v>111</v>
      </c>
      <c r="B50" t="s">
        <v>36</v>
      </c>
      <c r="C50" t="s">
        <v>8</v>
      </c>
      <c r="D50" t="s">
        <v>24</v>
      </c>
      <c r="E50" s="6">
        <v>45983.337679062497</v>
      </c>
      <c r="F50" t="s">
        <v>112</v>
      </c>
      <c r="G50">
        <v>44688</v>
      </c>
      <c r="H50" t="s">
        <v>185</v>
      </c>
      <c r="I50" t="s">
        <v>199</v>
      </c>
    </row>
    <row r="51" spans="1:9" ht="15" customHeight="1" x14ac:dyDescent="0.25">
      <c r="A51" t="s">
        <v>113</v>
      </c>
      <c r="B51" t="s">
        <v>86</v>
      </c>
      <c r="C51" t="s">
        <v>13</v>
      </c>
      <c r="D51" t="s">
        <v>14</v>
      </c>
      <c r="E51" s="6">
        <v>45991.337679062497</v>
      </c>
      <c r="F51" t="s">
        <v>114</v>
      </c>
      <c r="G51">
        <v>58536</v>
      </c>
      <c r="H51" t="s">
        <v>184</v>
      </c>
      <c r="I51" t="s">
        <v>178</v>
      </c>
    </row>
    <row r="52" spans="1:9" ht="15" customHeight="1" x14ac:dyDescent="0.25">
      <c r="A52" t="s">
        <v>115</v>
      </c>
      <c r="B52" t="s">
        <v>23</v>
      </c>
      <c r="C52" t="s">
        <v>13</v>
      </c>
      <c r="D52" t="s">
        <v>14</v>
      </c>
      <c r="E52" s="6">
        <v>45997.337679062497</v>
      </c>
      <c r="F52" t="s">
        <v>25</v>
      </c>
      <c r="G52">
        <v>69856</v>
      </c>
      <c r="H52" t="s">
        <v>185</v>
      </c>
      <c r="I52" t="s">
        <v>199</v>
      </c>
    </row>
    <row r="53" spans="1:9" ht="15" customHeight="1" x14ac:dyDescent="0.25">
      <c r="A53" t="s">
        <v>116</v>
      </c>
      <c r="B53" t="s">
        <v>36</v>
      </c>
      <c r="C53" t="s">
        <v>182</v>
      </c>
      <c r="D53" t="s">
        <v>14</v>
      </c>
      <c r="E53" s="6">
        <v>45990.337679062497</v>
      </c>
      <c r="F53" t="s">
        <v>89</v>
      </c>
      <c r="G53">
        <v>47584</v>
      </c>
      <c r="H53" t="s">
        <v>184</v>
      </c>
      <c r="I53" t="s">
        <v>180</v>
      </c>
    </row>
    <row r="54" spans="1:9" ht="15" customHeight="1" x14ac:dyDescent="0.25">
      <c r="A54" t="s">
        <v>117</v>
      </c>
      <c r="B54" t="s">
        <v>42</v>
      </c>
      <c r="C54" t="s">
        <v>13</v>
      </c>
      <c r="D54" t="s">
        <v>9</v>
      </c>
      <c r="E54" s="6">
        <v>45999.337679062497</v>
      </c>
      <c r="F54" t="s">
        <v>15</v>
      </c>
      <c r="G54">
        <v>20936</v>
      </c>
      <c r="H54" t="s">
        <v>184</v>
      </c>
      <c r="I54" t="s">
        <v>16</v>
      </c>
    </row>
    <row r="55" spans="1:9" ht="15" customHeight="1" x14ac:dyDescent="0.25">
      <c r="A55" t="s">
        <v>118</v>
      </c>
      <c r="B55" t="s">
        <v>47</v>
      </c>
      <c r="C55" t="s">
        <v>13</v>
      </c>
      <c r="D55" t="s">
        <v>9</v>
      </c>
      <c r="E55" s="6">
        <v>46001.337679062497</v>
      </c>
      <c r="F55" t="s">
        <v>89</v>
      </c>
      <c r="G55">
        <v>180000</v>
      </c>
      <c r="H55" t="s">
        <v>184</v>
      </c>
      <c r="I55" t="s">
        <v>51</v>
      </c>
    </row>
    <row r="56" spans="1:9" ht="15" customHeight="1" x14ac:dyDescent="0.25">
      <c r="A56" t="s">
        <v>119</v>
      </c>
      <c r="B56" t="s">
        <v>62</v>
      </c>
      <c r="C56" t="s">
        <v>8</v>
      </c>
      <c r="D56" t="s">
        <v>9</v>
      </c>
      <c r="E56" s="6">
        <v>46001.337679062497</v>
      </c>
      <c r="F56" t="s">
        <v>63</v>
      </c>
      <c r="G56">
        <v>24408</v>
      </c>
      <c r="H56" t="s">
        <v>185</v>
      </c>
      <c r="I56" t="s">
        <v>199</v>
      </c>
    </row>
    <row r="57" spans="1:9" ht="15" customHeight="1" x14ac:dyDescent="0.25">
      <c r="A57" t="s">
        <v>120</v>
      </c>
      <c r="B57" t="s">
        <v>36</v>
      </c>
      <c r="C57" t="s">
        <v>13</v>
      </c>
      <c r="D57" t="s">
        <v>9</v>
      </c>
      <c r="E57" s="6">
        <v>45994.337679062497</v>
      </c>
      <c r="F57" t="s">
        <v>112</v>
      </c>
      <c r="G57">
        <v>52592</v>
      </c>
      <c r="H57" t="s">
        <v>185</v>
      </c>
      <c r="I57" t="s">
        <v>199</v>
      </c>
    </row>
    <row r="58" spans="1:9" ht="15" customHeight="1" x14ac:dyDescent="0.25">
      <c r="A58" t="s">
        <v>121</v>
      </c>
      <c r="B58" t="s">
        <v>86</v>
      </c>
      <c r="C58" t="s">
        <v>13</v>
      </c>
      <c r="D58" t="s">
        <v>14</v>
      </c>
      <c r="E58" s="6">
        <v>45992.337679062497</v>
      </c>
      <c r="F58" t="s">
        <v>122</v>
      </c>
      <c r="G58">
        <v>58536</v>
      </c>
      <c r="H58" t="s">
        <v>184</v>
      </c>
      <c r="I58" t="s">
        <v>178</v>
      </c>
    </row>
    <row r="59" spans="1:9" ht="15" customHeight="1" x14ac:dyDescent="0.25">
      <c r="A59" t="s">
        <v>123</v>
      </c>
      <c r="B59" t="s">
        <v>44</v>
      </c>
      <c r="C59" t="s">
        <v>8</v>
      </c>
      <c r="D59" t="s">
        <v>9</v>
      </c>
      <c r="E59" s="6">
        <v>45991.337679062497</v>
      </c>
      <c r="F59" t="s">
        <v>155</v>
      </c>
      <c r="G59">
        <v>26872</v>
      </c>
      <c r="H59" t="s">
        <v>185</v>
      </c>
      <c r="I59" t="s">
        <v>199</v>
      </c>
    </row>
    <row r="60" spans="1:9" ht="15" customHeight="1" x14ac:dyDescent="0.25">
      <c r="A60" t="s">
        <v>124</v>
      </c>
      <c r="B60" t="s">
        <v>42</v>
      </c>
      <c r="C60" t="s">
        <v>13</v>
      </c>
      <c r="D60" t="s">
        <v>14</v>
      </c>
      <c r="E60" s="6">
        <v>45990.337679062497</v>
      </c>
      <c r="F60" t="s">
        <v>50</v>
      </c>
      <c r="G60">
        <v>55416</v>
      </c>
      <c r="H60" t="s">
        <v>185</v>
      </c>
      <c r="I60" t="s">
        <v>199</v>
      </c>
    </row>
    <row r="61" spans="1:9" ht="15" customHeight="1" x14ac:dyDescent="0.25">
      <c r="A61" t="s">
        <v>125</v>
      </c>
      <c r="B61" t="s">
        <v>62</v>
      </c>
      <c r="C61" t="s">
        <v>13</v>
      </c>
      <c r="D61" t="s">
        <v>24</v>
      </c>
      <c r="E61" s="6">
        <v>45973.337679062497</v>
      </c>
      <c r="F61" t="s">
        <v>63</v>
      </c>
      <c r="G61">
        <v>46608</v>
      </c>
      <c r="H61" t="s">
        <v>185</v>
      </c>
      <c r="I61" t="s">
        <v>199</v>
      </c>
    </row>
    <row r="62" spans="1:9" ht="15" customHeight="1" x14ac:dyDescent="0.25">
      <c r="A62" t="s">
        <v>126</v>
      </c>
      <c r="B62" t="s">
        <v>36</v>
      </c>
      <c r="C62" t="s">
        <v>13</v>
      </c>
      <c r="D62" t="s">
        <v>14</v>
      </c>
      <c r="E62" s="6">
        <v>46000.421012453706</v>
      </c>
      <c r="F62" t="s">
        <v>112</v>
      </c>
      <c r="G62">
        <v>53152</v>
      </c>
      <c r="H62" t="s">
        <v>184</v>
      </c>
      <c r="I62" t="s">
        <v>21</v>
      </c>
    </row>
    <row r="63" spans="1:9" ht="15" customHeight="1" x14ac:dyDescent="0.25">
      <c r="A63" t="s">
        <v>127</v>
      </c>
      <c r="B63" t="s">
        <v>91</v>
      </c>
      <c r="C63" t="s">
        <v>13</v>
      </c>
      <c r="D63" t="s">
        <v>14</v>
      </c>
      <c r="E63" s="6">
        <v>46000.091840277775</v>
      </c>
      <c r="F63" t="s">
        <v>92</v>
      </c>
      <c r="G63">
        <v>70352</v>
      </c>
      <c r="H63" t="s">
        <v>184</v>
      </c>
      <c r="I63" t="s">
        <v>179</v>
      </c>
    </row>
    <row r="64" spans="1:9" x14ac:dyDescent="0.25">
      <c r="A64" t="s">
        <v>128</v>
      </c>
      <c r="B64" t="s">
        <v>65</v>
      </c>
      <c r="C64" t="s">
        <v>13</v>
      </c>
      <c r="D64" t="s">
        <v>9</v>
      </c>
      <c r="E64" s="6">
        <v>46000.504345787034</v>
      </c>
      <c r="F64" t="s">
        <v>129</v>
      </c>
      <c r="G64">
        <v>124600</v>
      </c>
      <c r="H64" t="s">
        <v>184</v>
      </c>
      <c r="I64" t="s">
        <v>51</v>
      </c>
    </row>
    <row r="65" spans="1:9" ht="15" customHeight="1" x14ac:dyDescent="0.25">
      <c r="A65" t="s">
        <v>130</v>
      </c>
      <c r="B65" t="s">
        <v>18</v>
      </c>
      <c r="C65" t="s">
        <v>13</v>
      </c>
      <c r="D65" t="s">
        <v>9</v>
      </c>
      <c r="E65" s="6">
        <v>46000.421012453706</v>
      </c>
      <c r="F65" t="s">
        <v>68</v>
      </c>
      <c r="G65">
        <v>27944</v>
      </c>
      <c r="H65" t="s">
        <v>185</v>
      </c>
      <c r="I65" t="s">
        <v>199</v>
      </c>
    </row>
    <row r="66" spans="1:9" ht="15" customHeight="1" x14ac:dyDescent="0.25">
      <c r="A66" t="s">
        <v>131</v>
      </c>
      <c r="B66" t="s">
        <v>23</v>
      </c>
      <c r="C66" t="s">
        <v>13</v>
      </c>
      <c r="D66" t="s">
        <v>9</v>
      </c>
      <c r="E66" s="6">
        <v>46000.58767912037</v>
      </c>
      <c r="F66" t="s">
        <v>25</v>
      </c>
      <c r="G66">
        <v>25768</v>
      </c>
      <c r="H66" t="s">
        <v>185</v>
      </c>
      <c r="I66" t="s">
        <v>199</v>
      </c>
    </row>
    <row r="67" spans="1:9" ht="15" customHeight="1" x14ac:dyDescent="0.25">
      <c r="A67" t="s">
        <v>132</v>
      </c>
      <c r="B67" t="s">
        <v>91</v>
      </c>
      <c r="C67" t="s">
        <v>13</v>
      </c>
      <c r="D67" t="s">
        <v>24</v>
      </c>
      <c r="E67" s="6">
        <v>46000.379345787034</v>
      </c>
      <c r="F67" t="s">
        <v>92</v>
      </c>
      <c r="G67">
        <v>26944</v>
      </c>
      <c r="H67" t="s">
        <v>185</v>
      </c>
      <c r="I67" t="s">
        <v>199</v>
      </c>
    </row>
    <row r="68" spans="1:9" ht="15" customHeight="1" x14ac:dyDescent="0.25">
      <c r="A68" t="s">
        <v>133</v>
      </c>
      <c r="B68" t="s">
        <v>23</v>
      </c>
      <c r="C68" t="s">
        <v>8</v>
      </c>
      <c r="D68" t="s">
        <v>24</v>
      </c>
      <c r="E68" s="6">
        <v>45984.337679062497</v>
      </c>
      <c r="F68" t="s">
        <v>25</v>
      </c>
      <c r="G68">
        <v>38768</v>
      </c>
      <c r="H68" t="s">
        <v>185</v>
      </c>
      <c r="I68" t="s">
        <v>199</v>
      </c>
    </row>
    <row r="69" spans="1:9" x14ac:dyDescent="0.25">
      <c r="A69" t="s">
        <v>134</v>
      </c>
      <c r="B69" t="s">
        <v>65</v>
      </c>
      <c r="C69" t="s">
        <v>13</v>
      </c>
      <c r="D69" t="s">
        <v>24</v>
      </c>
      <c r="E69" s="6">
        <v>45999.337679062497</v>
      </c>
      <c r="F69" t="s">
        <v>135</v>
      </c>
      <c r="G69">
        <v>45456</v>
      </c>
      <c r="H69" t="s">
        <v>185</v>
      </c>
      <c r="I69" t="s">
        <v>199</v>
      </c>
    </row>
    <row r="70" spans="1:9" ht="15" customHeight="1" x14ac:dyDescent="0.25">
      <c r="A70" t="s">
        <v>136</v>
      </c>
      <c r="B70" t="s">
        <v>137</v>
      </c>
      <c r="C70" t="s">
        <v>13</v>
      </c>
      <c r="D70" t="s">
        <v>14</v>
      </c>
      <c r="E70" s="6">
        <v>45979.337679062497</v>
      </c>
      <c r="F70" t="s">
        <v>147</v>
      </c>
      <c r="G70">
        <v>44424</v>
      </c>
      <c r="H70" t="s">
        <v>185</v>
      </c>
      <c r="I70" t="s">
        <v>199</v>
      </c>
    </row>
    <row r="71" spans="1:9" ht="15" customHeight="1" x14ac:dyDescent="0.25">
      <c r="A71" t="s">
        <v>138</v>
      </c>
      <c r="B71" t="s">
        <v>86</v>
      </c>
      <c r="C71" t="s">
        <v>13</v>
      </c>
      <c r="D71" t="s">
        <v>14</v>
      </c>
      <c r="E71" s="6">
        <v>45985.337679062497</v>
      </c>
      <c r="F71" t="s">
        <v>139</v>
      </c>
      <c r="G71">
        <v>58536</v>
      </c>
      <c r="H71" t="s">
        <v>184</v>
      </c>
      <c r="I71" t="s">
        <v>178</v>
      </c>
    </row>
    <row r="72" spans="1:9" ht="15" customHeight="1" x14ac:dyDescent="0.25">
      <c r="A72" t="s">
        <v>140</v>
      </c>
      <c r="B72" t="s">
        <v>18</v>
      </c>
      <c r="C72" t="s">
        <v>13</v>
      </c>
      <c r="D72" t="s">
        <v>24</v>
      </c>
      <c r="E72" s="6">
        <v>45976.337679062497</v>
      </c>
      <c r="F72" t="s">
        <v>68</v>
      </c>
      <c r="G72">
        <v>40208</v>
      </c>
      <c r="H72" t="s">
        <v>185</v>
      </c>
      <c r="I72" t="s">
        <v>199</v>
      </c>
    </row>
    <row r="73" spans="1:9" ht="15" customHeight="1" x14ac:dyDescent="0.25">
      <c r="A73" t="s">
        <v>141</v>
      </c>
      <c r="B73" t="s">
        <v>137</v>
      </c>
      <c r="C73" t="s">
        <v>8</v>
      </c>
      <c r="D73" t="s">
        <v>9</v>
      </c>
      <c r="E73" s="6">
        <v>45994.337679062497</v>
      </c>
      <c r="F73" t="s">
        <v>142</v>
      </c>
      <c r="G73">
        <v>63256</v>
      </c>
      <c r="H73" t="s">
        <v>184</v>
      </c>
      <c r="I73" t="s">
        <v>16</v>
      </c>
    </row>
    <row r="74" spans="1:9" ht="15" customHeight="1" x14ac:dyDescent="0.25">
      <c r="A74" t="s">
        <v>143</v>
      </c>
      <c r="B74" t="s">
        <v>83</v>
      </c>
      <c r="C74" t="s">
        <v>8</v>
      </c>
      <c r="D74" t="s">
        <v>14</v>
      </c>
      <c r="E74" s="6">
        <v>45973.337679062497</v>
      </c>
      <c r="F74" t="s">
        <v>151</v>
      </c>
      <c r="G74">
        <v>35768</v>
      </c>
      <c r="H74" t="s">
        <v>184</v>
      </c>
      <c r="I74" s="1" t="s">
        <v>191</v>
      </c>
    </row>
    <row r="75" spans="1:9" ht="15" customHeight="1" x14ac:dyDescent="0.25">
      <c r="A75" t="s">
        <v>144</v>
      </c>
      <c r="B75" t="s">
        <v>18</v>
      </c>
      <c r="C75" t="s">
        <v>13</v>
      </c>
      <c r="D75" t="s">
        <v>14</v>
      </c>
      <c r="E75" s="6">
        <v>45976.337679062497</v>
      </c>
      <c r="F75" t="s">
        <v>145</v>
      </c>
      <c r="G75">
        <v>83520</v>
      </c>
      <c r="H75" t="s">
        <v>184</v>
      </c>
      <c r="I75" t="s">
        <v>21</v>
      </c>
    </row>
    <row r="76" spans="1:9" ht="15" customHeight="1" x14ac:dyDescent="0.25">
      <c r="A76" t="s">
        <v>146</v>
      </c>
      <c r="B76" t="s">
        <v>137</v>
      </c>
      <c r="C76" t="s">
        <v>8</v>
      </c>
      <c r="D76" t="s">
        <v>14</v>
      </c>
      <c r="E76" s="6">
        <v>45992.337679062497</v>
      </c>
      <c r="F76" t="s">
        <v>147</v>
      </c>
      <c r="G76">
        <v>50008</v>
      </c>
      <c r="H76" t="s">
        <v>185</v>
      </c>
      <c r="I76" t="s">
        <v>199</v>
      </c>
    </row>
    <row r="77" spans="1:9" ht="15" customHeight="1" x14ac:dyDescent="0.25">
      <c r="A77" t="s">
        <v>148</v>
      </c>
      <c r="B77" t="s">
        <v>53</v>
      </c>
      <c r="C77" t="s">
        <v>8</v>
      </c>
      <c r="D77" t="s">
        <v>24</v>
      </c>
      <c r="E77" s="6">
        <v>45976.337679062497</v>
      </c>
      <c r="F77" t="s">
        <v>54</v>
      </c>
      <c r="G77">
        <v>26288</v>
      </c>
      <c r="H77" t="s">
        <v>185</v>
      </c>
      <c r="I77" t="s">
        <v>199</v>
      </c>
    </row>
    <row r="78" spans="1:9" ht="15" customHeight="1" x14ac:dyDescent="0.25">
      <c r="A78" t="s">
        <v>149</v>
      </c>
      <c r="B78" t="s">
        <v>7</v>
      </c>
      <c r="C78" t="s">
        <v>8</v>
      </c>
      <c r="D78" t="s">
        <v>24</v>
      </c>
      <c r="E78" s="6">
        <v>45972.337679062497</v>
      </c>
      <c r="F78" t="s">
        <v>10</v>
      </c>
      <c r="G78">
        <v>22864</v>
      </c>
      <c r="H78" t="s">
        <v>185</v>
      </c>
      <c r="I78" t="s">
        <v>199</v>
      </c>
    </row>
    <row r="79" spans="1:9" ht="15" customHeight="1" x14ac:dyDescent="0.25">
      <c r="A79" t="s">
        <v>150</v>
      </c>
      <c r="B79" t="s">
        <v>83</v>
      </c>
      <c r="C79" t="s">
        <v>8</v>
      </c>
      <c r="D79" t="s">
        <v>24</v>
      </c>
      <c r="E79" s="6">
        <v>46000.337679062497</v>
      </c>
      <c r="F79" t="s">
        <v>151</v>
      </c>
      <c r="G79">
        <v>47720</v>
      </c>
      <c r="H79" t="s">
        <v>185</v>
      </c>
      <c r="I79" t="s">
        <v>199</v>
      </c>
    </row>
    <row r="80" spans="1:9" ht="15" customHeight="1" x14ac:dyDescent="0.25">
      <c r="A80" t="s">
        <v>152</v>
      </c>
      <c r="B80" t="s">
        <v>53</v>
      </c>
      <c r="C80" t="s">
        <v>13</v>
      </c>
      <c r="D80" t="s">
        <v>14</v>
      </c>
      <c r="E80" s="6">
        <v>45983.337679062497</v>
      </c>
      <c r="F80" t="s">
        <v>153</v>
      </c>
      <c r="G80">
        <v>36424</v>
      </c>
      <c r="H80" t="s">
        <v>184</v>
      </c>
      <c r="I80" t="s">
        <v>177</v>
      </c>
    </row>
    <row r="81" spans="1:9" ht="15" customHeight="1" x14ac:dyDescent="0.25">
      <c r="A81" t="s">
        <v>154</v>
      </c>
      <c r="B81" t="s">
        <v>44</v>
      </c>
      <c r="C81" t="s">
        <v>8</v>
      </c>
      <c r="D81" t="s">
        <v>24</v>
      </c>
      <c r="E81" s="6">
        <v>45993.337679062497</v>
      </c>
      <c r="F81" t="s">
        <v>155</v>
      </c>
      <c r="G81">
        <v>51424</v>
      </c>
      <c r="H81" t="s">
        <v>185</v>
      </c>
      <c r="I81" t="s">
        <v>199</v>
      </c>
    </row>
    <row r="82" spans="1:9" ht="15" customHeight="1" x14ac:dyDescent="0.25">
      <c r="A82" t="s">
        <v>156</v>
      </c>
      <c r="B82" t="s">
        <v>23</v>
      </c>
      <c r="C82" t="s">
        <v>13</v>
      </c>
      <c r="D82" t="s">
        <v>9</v>
      </c>
      <c r="E82" s="6">
        <v>45995.337679062497</v>
      </c>
      <c r="F82" t="s">
        <v>97</v>
      </c>
      <c r="G82">
        <v>36540</v>
      </c>
      <c r="H82" t="s">
        <v>184</v>
      </c>
      <c r="I82" t="s">
        <v>16</v>
      </c>
    </row>
    <row r="83" spans="1:9" ht="15" customHeight="1" x14ac:dyDescent="0.25">
      <c r="A83" t="s">
        <v>157</v>
      </c>
      <c r="B83" t="s">
        <v>20</v>
      </c>
      <c r="C83" t="s">
        <v>8</v>
      </c>
      <c r="D83" t="s">
        <v>24</v>
      </c>
      <c r="E83" s="6">
        <v>45998.337679062497</v>
      </c>
      <c r="F83" t="s">
        <v>34</v>
      </c>
      <c r="G83">
        <v>38832</v>
      </c>
      <c r="H83" t="s">
        <v>185</v>
      </c>
      <c r="I83" t="s">
        <v>199</v>
      </c>
    </row>
    <row r="84" spans="1:9" ht="15" customHeight="1" x14ac:dyDescent="0.25">
      <c r="A84" t="s">
        <v>158</v>
      </c>
      <c r="B84" t="s">
        <v>29</v>
      </c>
      <c r="C84" t="s">
        <v>8</v>
      </c>
      <c r="D84" t="s">
        <v>24</v>
      </c>
      <c r="E84" s="6">
        <v>45976.337679062497</v>
      </c>
      <c r="F84" t="s">
        <v>30</v>
      </c>
      <c r="G84">
        <v>26448</v>
      </c>
      <c r="H84" t="s">
        <v>185</v>
      </c>
      <c r="I84" t="s">
        <v>199</v>
      </c>
    </row>
    <row r="85" spans="1:9" ht="15" customHeight="1" x14ac:dyDescent="0.25">
      <c r="A85" t="s">
        <v>159</v>
      </c>
      <c r="B85" t="s">
        <v>60</v>
      </c>
      <c r="C85" t="s">
        <v>8</v>
      </c>
      <c r="D85" t="s">
        <v>14</v>
      </c>
      <c r="E85" s="6">
        <v>46011.337673611109</v>
      </c>
      <c r="F85" t="s">
        <v>192</v>
      </c>
      <c r="G85">
        <v>75048</v>
      </c>
      <c r="H85" t="s">
        <v>184</v>
      </c>
      <c r="I85" t="s">
        <v>178</v>
      </c>
    </row>
    <row r="86" spans="1:9" ht="15" customHeight="1" x14ac:dyDescent="0.25">
      <c r="A86" t="s">
        <v>160</v>
      </c>
      <c r="B86" t="s">
        <v>23</v>
      </c>
      <c r="C86" t="s">
        <v>8</v>
      </c>
      <c r="D86" t="s">
        <v>24</v>
      </c>
      <c r="E86" s="6">
        <v>45984.337679062497</v>
      </c>
      <c r="F86" t="s">
        <v>25</v>
      </c>
      <c r="G86">
        <v>32856</v>
      </c>
      <c r="H86" t="s">
        <v>185</v>
      </c>
      <c r="I86" t="s">
        <v>199</v>
      </c>
    </row>
    <row r="87" spans="1:9" ht="15" customHeight="1" x14ac:dyDescent="0.25">
      <c r="A87" t="s">
        <v>161</v>
      </c>
      <c r="B87" t="s">
        <v>39</v>
      </c>
      <c r="C87" t="s">
        <v>13</v>
      </c>
      <c r="D87" t="s">
        <v>9</v>
      </c>
      <c r="E87" s="6">
        <v>45989.337679062497</v>
      </c>
      <c r="F87" t="s">
        <v>40</v>
      </c>
      <c r="G87">
        <v>53704</v>
      </c>
      <c r="H87" t="s">
        <v>185</v>
      </c>
      <c r="I87" t="s">
        <v>199</v>
      </c>
    </row>
    <row r="88" spans="1:9" ht="15" customHeight="1" x14ac:dyDescent="0.25">
      <c r="A88" t="s">
        <v>162</v>
      </c>
      <c r="B88" t="s">
        <v>39</v>
      </c>
      <c r="C88" t="s">
        <v>13</v>
      </c>
      <c r="D88" t="s">
        <v>9</v>
      </c>
      <c r="E88" s="6">
        <v>45991.337679062497</v>
      </c>
      <c r="F88" t="s">
        <v>40</v>
      </c>
      <c r="G88">
        <v>43424</v>
      </c>
      <c r="H88" t="s">
        <v>185</v>
      </c>
      <c r="I88" t="s">
        <v>199</v>
      </c>
    </row>
    <row r="89" spans="1:9" ht="15" customHeight="1" x14ac:dyDescent="0.25">
      <c r="A89" t="s">
        <v>163</v>
      </c>
      <c r="B89" t="s">
        <v>53</v>
      </c>
      <c r="C89" t="s">
        <v>8</v>
      </c>
      <c r="D89" t="s">
        <v>14</v>
      </c>
      <c r="E89" s="6">
        <v>45973.337679062497</v>
      </c>
      <c r="F89" t="s">
        <v>54</v>
      </c>
      <c r="G89">
        <v>20072</v>
      </c>
      <c r="H89" t="s">
        <v>184</v>
      </c>
      <c r="I89" t="s">
        <v>21</v>
      </c>
    </row>
    <row r="90" spans="1:9" ht="15" customHeight="1" x14ac:dyDescent="0.25">
      <c r="A90" t="s">
        <v>164</v>
      </c>
      <c r="B90" t="s">
        <v>77</v>
      </c>
      <c r="C90" t="s">
        <v>8</v>
      </c>
      <c r="D90" t="s">
        <v>9</v>
      </c>
      <c r="E90" s="6">
        <v>45978.337679062497</v>
      </c>
      <c r="F90" t="s">
        <v>78</v>
      </c>
      <c r="G90">
        <v>42768</v>
      </c>
      <c r="H90" t="s">
        <v>185</v>
      </c>
      <c r="I90" t="s">
        <v>199</v>
      </c>
    </row>
    <row r="91" spans="1:9" ht="15" customHeight="1" x14ac:dyDescent="0.25">
      <c r="A91" t="s">
        <v>165</v>
      </c>
      <c r="B91" t="s">
        <v>62</v>
      </c>
      <c r="C91" t="s">
        <v>13</v>
      </c>
      <c r="D91" t="s">
        <v>24</v>
      </c>
      <c r="E91" s="6">
        <v>45998.337679062497</v>
      </c>
      <c r="F91" t="s">
        <v>63</v>
      </c>
      <c r="G91">
        <v>46168</v>
      </c>
      <c r="H91" t="s">
        <v>185</v>
      </c>
      <c r="I91" t="s">
        <v>199</v>
      </c>
    </row>
    <row r="92" spans="1:9" ht="15" customHeight="1" x14ac:dyDescent="0.25">
      <c r="A92" t="s">
        <v>166</v>
      </c>
      <c r="B92" t="s">
        <v>7</v>
      </c>
      <c r="C92" t="s">
        <v>8</v>
      </c>
      <c r="D92" t="s">
        <v>14</v>
      </c>
      <c r="E92" s="6">
        <v>45977.337679062497</v>
      </c>
      <c r="F92" t="s">
        <v>10</v>
      </c>
      <c r="G92">
        <v>25856</v>
      </c>
      <c r="H92" t="s">
        <v>184</v>
      </c>
      <c r="I92" t="s">
        <v>21</v>
      </c>
    </row>
    <row r="93" spans="1:9" ht="15" customHeight="1" x14ac:dyDescent="0.25">
      <c r="A93" t="s">
        <v>168</v>
      </c>
      <c r="B93" t="s">
        <v>83</v>
      </c>
      <c r="C93" t="s">
        <v>8</v>
      </c>
      <c r="D93" t="s">
        <v>9</v>
      </c>
      <c r="E93" s="6">
        <v>45981.337679062497</v>
      </c>
      <c r="F93" t="s">
        <v>167</v>
      </c>
      <c r="G93">
        <v>42456</v>
      </c>
      <c r="H93" t="s">
        <v>184</v>
      </c>
      <c r="I93" t="s">
        <v>177</v>
      </c>
    </row>
    <row r="94" spans="1:9" ht="15" customHeight="1" x14ac:dyDescent="0.25">
      <c r="A94" t="s">
        <v>169</v>
      </c>
      <c r="B94" t="s">
        <v>7</v>
      </c>
      <c r="C94" t="s">
        <v>8</v>
      </c>
      <c r="D94" t="s">
        <v>24</v>
      </c>
      <c r="E94" s="6">
        <v>45973.337679062497</v>
      </c>
      <c r="F94" t="s">
        <v>10</v>
      </c>
      <c r="G94">
        <v>40928</v>
      </c>
      <c r="H94" t="s">
        <v>185</v>
      </c>
      <c r="I94" t="s">
        <v>199</v>
      </c>
    </row>
    <row r="95" spans="1:9" ht="15" customHeight="1" x14ac:dyDescent="0.25">
      <c r="A95" t="s">
        <v>170</v>
      </c>
      <c r="B95" t="s">
        <v>83</v>
      </c>
      <c r="C95" t="s">
        <v>13</v>
      </c>
      <c r="D95" t="s">
        <v>14</v>
      </c>
      <c r="E95" s="6">
        <v>45977.337679062497</v>
      </c>
      <c r="F95" t="s">
        <v>151</v>
      </c>
      <c r="G95">
        <v>21712</v>
      </c>
      <c r="H95" t="s">
        <v>185</v>
      </c>
      <c r="I95" t="s">
        <v>199</v>
      </c>
    </row>
    <row r="96" spans="1:9" ht="15" customHeight="1" x14ac:dyDescent="0.25">
      <c r="A96" t="s">
        <v>171</v>
      </c>
      <c r="B96" t="s">
        <v>23</v>
      </c>
      <c r="C96" t="s">
        <v>13</v>
      </c>
      <c r="D96" t="s">
        <v>24</v>
      </c>
      <c r="E96" s="6">
        <v>45998.337679062497</v>
      </c>
      <c r="F96" t="s">
        <v>25</v>
      </c>
      <c r="G96">
        <v>45728</v>
      </c>
      <c r="H96" t="s">
        <v>185</v>
      </c>
      <c r="I96" t="s">
        <v>199</v>
      </c>
    </row>
    <row r="97" spans="1:9" ht="15" customHeight="1" x14ac:dyDescent="0.25">
      <c r="A97" t="s">
        <v>172</v>
      </c>
      <c r="B97" t="s">
        <v>44</v>
      </c>
      <c r="C97" t="s">
        <v>13</v>
      </c>
      <c r="D97" t="s">
        <v>9</v>
      </c>
      <c r="E97" s="6">
        <v>45992.337679062497</v>
      </c>
      <c r="F97" t="s">
        <v>155</v>
      </c>
      <c r="G97">
        <v>48976</v>
      </c>
      <c r="H97" t="s">
        <v>185</v>
      </c>
      <c r="I97" t="s">
        <v>199</v>
      </c>
    </row>
    <row r="98" spans="1:9" ht="15" customHeight="1" x14ac:dyDescent="0.25">
      <c r="A98" t="s">
        <v>173</v>
      </c>
      <c r="B98" t="s">
        <v>42</v>
      </c>
      <c r="C98" t="s">
        <v>8</v>
      </c>
      <c r="D98" t="s">
        <v>24</v>
      </c>
      <c r="E98" s="6">
        <v>45997.337679062497</v>
      </c>
      <c r="F98" t="s">
        <v>142</v>
      </c>
      <c r="G98">
        <v>57328</v>
      </c>
      <c r="H98" t="s">
        <v>184</v>
      </c>
      <c r="I98" t="s">
        <v>16</v>
      </c>
    </row>
    <row r="99" spans="1:9" ht="15" customHeight="1" x14ac:dyDescent="0.25">
      <c r="A99" t="s">
        <v>174</v>
      </c>
      <c r="B99" t="s">
        <v>53</v>
      </c>
      <c r="C99" t="s">
        <v>8</v>
      </c>
      <c r="D99" t="s">
        <v>14</v>
      </c>
      <c r="E99" s="6">
        <v>45993.337679062497</v>
      </c>
      <c r="F99" t="s">
        <v>54</v>
      </c>
      <c r="G99">
        <v>56864</v>
      </c>
      <c r="H99" t="s">
        <v>184</v>
      </c>
      <c r="I99" t="s">
        <v>21</v>
      </c>
    </row>
    <row r="100" spans="1:9" x14ac:dyDescent="0.25">
      <c r="A100" t="s">
        <v>175</v>
      </c>
      <c r="B100" t="s">
        <v>65</v>
      </c>
      <c r="C100" t="s">
        <v>13</v>
      </c>
      <c r="D100" t="s">
        <v>14</v>
      </c>
      <c r="E100" s="6">
        <v>45978.337679062497</v>
      </c>
      <c r="F100" t="s">
        <v>135</v>
      </c>
      <c r="G100">
        <v>17960</v>
      </c>
      <c r="H100" t="s">
        <v>185</v>
      </c>
      <c r="I100" t="s">
        <v>199</v>
      </c>
    </row>
    <row r="101" spans="1:9" ht="15" customHeight="1" x14ac:dyDescent="0.25">
      <c r="A101" t="s">
        <v>176</v>
      </c>
      <c r="B101" t="s">
        <v>77</v>
      </c>
      <c r="C101" t="s">
        <v>13</v>
      </c>
      <c r="D101" t="s">
        <v>14</v>
      </c>
      <c r="E101" s="6">
        <v>45999.337679062497</v>
      </c>
      <c r="F101" t="s">
        <v>78</v>
      </c>
      <c r="G101">
        <v>24992</v>
      </c>
      <c r="H101" t="s">
        <v>185</v>
      </c>
      <c r="I101" t="s">
        <v>199</v>
      </c>
    </row>
  </sheetData>
  <conditionalFormatting sqref="H3:H99">
    <cfRule type="containsText" dxfId="3" priority="2" operator="containsText" text="Flagged">
      <formula>NOT(ISERROR(SEARCH("Flagged",H3)))</formula>
    </cfRule>
  </conditionalFormatting>
  <conditionalFormatting sqref="H1:H1048576 I2 I4 I6 I8 I12 I14:I15 I18 I22 I24 I26 I28 I30:I31 I37 I42:I43 I47:I48 I50 I52 I56:I57 I59:I61 I65:I70 I72 I76:I79 I81 I83:I84 I86:I88 I90:I91 I94:I97 I100:I101">
    <cfRule type="containsText" dxfId="2" priority="1" operator="containsText" text="Yes">
      <formula>NOT(ISERROR(SEARCH("Yes",H1)))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5"/>
  <sheetViews>
    <sheetView workbookViewId="0">
      <selection activeCell="A21" sqref="A21"/>
    </sheetView>
  </sheetViews>
  <sheetFormatPr defaultRowHeight="15" x14ac:dyDescent="0.25"/>
  <cols>
    <col min="1" max="1" width="33.85546875" customWidth="1"/>
    <col min="2" max="2" width="16.28515625" customWidth="1"/>
    <col min="3" max="12" width="4.42578125" customWidth="1"/>
    <col min="13" max="13" width="3.42578125" customWidth="1"/>
    <col min="14" max="14" width="4.42578125" customWidth="1"/>
    <col min="15" max="21" width="3.42578125" customWidth="1"/>
    <col min="22" max="22" width="11.28515625" customWidth="1"/>
    <col min="23" max="36" width="7" customWidth="1"/>
    <col min="37" max="37" width="6" customWidth="1"/>
    <col min="38" max="41" width="7" customWidth="1"/>
    <col min="42" max="42" width="26.85546875" bestFit="1" customWidth="1"/>
    <col min="43" max="43" width="26.28515625" bestFit="1" customWidth="1"/>
  </cols>
  <sheetData>
    <row r="3" spans="1:22" x14ac:dyDescent="0.25">
      <c r="A3" s="2" t="s">
        <v>189</v>
      </c>
      <c r="B3" s="2" t="s">
        <v>188</v>
      </c>
    </row>
    <row r="4" spans="1:22" x14ac:dyDescent="0.25">
      <c r="A4" s="2" t="s">
        <v>186</v>
      </c>
      <c r="B4" t="s">
        <v>53</v>
      </c>
      <c r="C4" t="s">
        <v>62</v>
      </c>
      <c r="D4" t="s">
        <v>20</v>
      </c>
      <c r="E4" t="s">
        <v>44</v>
      </c>
      <c r="F4" t="s">
        <v>137</v>
      </c>
      <c r="G4" t="s">
        <v>91</v>
      </c>
      <c r="H4" t="s">
        <v>18</v>
      </c>
      <c r="I4" t="s">
        <v>65</v>
      </c>
      <c r="J4" t="s">
        <v>60</v>
      </c>
      <c r="K4" t="s">
        <v>86</v>
      </c>
      <c r="L4" t="s">
        <v>29</v>
      </c>
      <c r="M4" t="s">
        <v>42</v>
      </c>
      <c r="N4" t="s">
        <v>12</v>
      </c>
      <c r="O4" t="s">
        <v>39</v>
      </c>
      <c r="P4" t="s">
        <v>36</v>
      </c>
      <c r="Q4" t="s">
        <v>77</v>
      </c>
      <c r="R4" t="s">
        <v>47</v>
      </c>
      <c r="S4" t="s">
        <v>7</v>
      </c>
      <c r="T4" t="s">
        <v>23</v>
      </c>
      <c r="U4" t="s">
        <v>83</v>
      </c>
      <c r="V4" t="s">
        <v>187</v>
      </c>
    </row>
    <row r="5" spans="1:22" x14ac:dyDescent="0.25">
      <c r="A5" s="3" t="s">
        <v>191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3</v>
      </c>
      <c r="V5" s="4">
        <v>3</v>
      </c>
    </row>
    <row r="6" spans="1:22" x14ac:dyDescent="0.25">
      <c r="A6" s="3" t="s">
        <v>51</v>
      </c>
      <c r="B6" s="4"/>
      <c r="C6" s="4"/>
      <c r="D6" s="4"/>
      <c r="E6" s="4"/>
      <c r="F6" s="4"/>
      <c r="G6" s="4"/>
      <c r="H6" s="4"/>
      <c r="I6" s="4">
        <v>2</v>
      </c>
      <c r="J6" s="4"/>
      <c r="K6" s="4"/>
      <c r="L6" s="4"/>
      <c r="M6" s="4">
        <v>1</v>
      </c>
      <c r="N6" s="4"/>
      <c r="O6" s="4"/>
      <c r="P6" s="4"/>
      <c r="Q6" s="4"/>
      <c r="R6" s="4">
        <v>2</v>
      </c>
      <c r="S6" s="4"/>
      <c r="T6" s="4"/>
      <c r="U6" s="4"/>
      <c r="V6" s="4">
        <v>5</v>
      </c>
    </row>
    <row r="7" spans="1:22" x14ac:dyDescent="0.25">
      <c r="A7" s="3" t="s">
        <v>177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v>1</v>
      </c>
      <c r="P7" s="4"/>
      <c r="Q7" s="4"/>
      <c r="R7" s="4"/>
      <c r="S7" s="4"/>
      <c r="T7" s="4"/>
      <c r="U7" s="4">
        <v>1</v>
      </c>
      <c r="V7" s="4">
        <v>3</v>
      </c>
    </row>
    <row r="8" spans="1:22" x14ac:dyDescent="0.25">
      <c r="A8" s="3" t="s">
        <v>16</v>
      </c>
      <c r="B8" s="4"/>
      <c r="C8" s="4"/>
      <c r="D8" s="4"/>
      <c r="E8" s="4"/>
      <c r="F8" s="4">
        <v>1</v>
      </c>
      <c r="G8" s="4"/>
      <c r="H8" s="4"/>
      <c r="I8" s="4"/>
      <c r="J8" s="4">
        <v>1</v>
      </c>
      <c r="K8" s="4"/>
      <c r="L8" s="4"/>
      <c r="M8" s="4">
        <v>3</v>
      </c>
      <c r="N8" s="4">
        <v>1</v>
      </c>
      <c r="O8" s="4"/>
      <c r="P8" s="4"/>
      <c r="Q8" s="4"/>
      <c r="R8" s="4"/>
      <c r="S8" s="4"/>
      <c r="T8" s="4">
        <v>2</v>
      </c>
      <c r="U8" s="4"/>
      <c r="V8" s="4">
        <v>8</v>
      </c>
    </row>
    <row r="9" spans="1:22" x14ac:dyDescent="0.25">
      <c r="A9" s="3" t="s">
        <v>21</v>
      </c>
      <c r="B9" s="4">
        <v>2</v>
      </c>
      <c r="C9" s="4"/>
      <c r="D9" s="4"/>
      <c r="E9" s="4"/>
      <c r="F9" s="4"/>
      <c r="G9" s="4"/>
      <c r="H9" s="4">
        <v>2</v>
      </c>
      <c r="I9" s="4"/>
      <c r="J9" s="4"/>
      <c r="K9" s="4"/>
      <c r="L9" s="4"/>
      <c r="M9" s="4"/>
      <c r="N9" s="4"/>
      <c r="O9" s="4"/>
      <c r="P9" s="4">
        <v>1</v>
      </c>
      <c r="Q9" s="4"/>
      <c r="R9" s="4"/>
      <c r="S9" s="4">
        <v>1</v>
      </c>
      <c r="T9" s="4"/>
      <c r="U9" s="4"/>
      <c r="V9" s="4">
        <v>6</v>
      </c>
    </row>
    <row r="10" spans="1:22" x14ac:dyDescent="0.25">
      <c r="A10" s="3" t="s">
        <v>181</v>
      </c>
      <c r="B10" s="4"/>
      <c r="C10" s="4"/>
      <c r="D10" s="4"/>
      <c r="E10" s="4">
        <v>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>
        <v>3</v>
      </c>
    </row>
    <row r="11" spans="1:22" x14ac:dyDescent="0.25">
      <c r="A11" s="3" t="s">
        <v>199</v>
      </c>
      <c r="B11" s="4">
        <v>2</v>
      </c>
      <c r="C11" s="4">
        <v>4</v>
      </c>
      <c r="D11" s="4">
        <v>1</v>
      </c>
      <c r="E11" s="4">
        <v>4</v>
      </c>
      <c r="F11" s="4">
        <v>2</v>
      </c>
      <c r="G11" s="4">
        <v>3</v>
      </c>
      <c r="H11" s="4">
        <v>5</v>
      </c>
      <c r="I11" s="4">
        <v>2</v>
      </c>
      <c r="J11" s="4"/>
      <c r="K11" s="4"/>
      <c r="L11" s="4">
        <v>4</v>
      </c>
      <c r="M11" s="4">
        <v>2</v>
      </c>
      <c r="N11" s="4">
        <v>1</v>
      </c>
      <c r="O11" s="4">
        <v>3</v>
      </c>
      <c r="P11" s="4">
        <v>2</v>
      </c>
      <c r="Q11" s="4">
        <v>3</v>
      </c>
      <c r="R11" s="4"/>
      <c r="S11" s="4">
        <v>4</v>
      </c>
      <c r="T11" s="4">
        <v>7</v>
      </c>
      <c r="U11" s="4">
        <v>2</v>
      </c>
      <c r="V11" s="4">
        <v>51</v>
      </c>
    </row>
    <row r="12" spans="1:22" x14ac:dyDescent="0.25">
      <c r="A12" s="3" t="s">
        <v>178</v>
      </c>
      <c r="B12" s="4"/>
      <c r="C12" s="4"/>
      <c r="D12" s="4">
        <v>3</v>
      </c>
      <c r="E12" s="4"/>
      <c r="F12" s="4"/>
      <c r="G12" s="4"/>
      <c r="H12" s="4"/>
      <c r="I12" s="4"/>
      <c r="J12" s="4">
        <v>2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8</v>
      </c>
    </row>
    <row r="13" spans="1:22" x14ac:dyDescent="0.25">
      <c r="A13" s="3" t="s">
        <v>180</v>
      </c>
      <c r="B13" s="4"/>
      <c r="C13" s="4"/>
      <c r="D13" s="4"/>
      <c r="E13" s="4">
        <v>1</v>
      </c>
      <c r="F13" s="4"/>
      <c r="G13" s="4"/>
      <c r="H13" s="4"/>
      <c r="I13" s="4"/>
      <c r="J13" s="4"/>
      <c r="K13" s="4">
        <v>2</v>
      </c>
      <c r="L13" s="4"/>
      <c r="M13" s="4"/>
      <c r="N13" s="4">
        <v>1</v>
      </c>
      <c r="O13" s="4"/>
      <c r="P13" s="4">
        <v>1</v>
      </c>
      <c r="Q13" s="4"/>
      <c r="R13" s="4"/>
      <c r="S13" s="4">
        <v>3</v>
      </c>
      <c r="T13" s="4"/>
      <c r="U13" s="4"/>
      <c r="V13" s="4">
        <v>8</v>
      </c>
    </row>
    <row r="14" spans="1:22" x14ac:dyDescent="0.25">
      <c r="A14" s="3" t="s">
        <v>179</v>
      </c>
      <c r="B14" s="4"/>
      <c r="C14" s="4"/>
      <c r="D14" s="4"/>
      <c r="E14" s="4"/>
      <c r="F14" s="4"/>
      <c r="G14" s="4">
        <v>1</v>
      </c>
      <c r="H14" s="4">
        <v>1</v>
      </c>
      <c r="I14" s="4"/>
      <c r="J14" s="4"/>
      <c r="K14" s="4"/>
      <c r="L14" s="4"/>
      <c r="M14" s="4"/>
      <c r="N14" s="4"/>
      <c r="O14" s="4">
        <v>1</v>
      </c>
      <c r="P14" s="4">
        <v>2</v>
      </c>
      <c r="Q14" s="4"/>
      <c r="R14" s="4"/>
      <c r="S14" s="4"/>
      <c r="T14" s="4"/>
      <c r="U14" s="4"/>
      <c r="V14" s="4">
        <v>5</v>
      </c>
    </row>
    <row r="15" spans="1:22" x14ac:dyDescent="0.25">
      <c r="A15" s="3" t="s">
        <v>187</v>
      </c>
      <c r="B15" s="4">
        <v>5</v>
      </c>
      <c r="C15" s="4">
        <v>4</v>
      </c>
      <c r="D15" s="4">
        <v>4</v>
      </c>
      <c r="E15" s="4">
        <v>8</v>
      </c>
      <c r="F15" s="4">
        <v>3</v>
      </c>
      <c r="G15" s="4">
        <v>4</v>
      </c>
      <c r="H15" s="4">
        <v>8</v>
      </c>
      <c r="I15" s="4">
        <v>4</v>
      </c>
      <c r="J15" s="4">
        <v>3</v>
      </c>
      <c r="K15" s="4">
        <v>5</v>
      </c>
      <c r="L15" s="4">
        <v>4</v>
      </c>
      <c r="M15" s="4">
        <v>6</v>
      </c>
      <c r="N15" s="4">
        <v>3</v>
      </c>
      <c r="O15" s="4">
        <v>5</v>
      </c>
      <c r="P15" s="4">
        <v>6</v>
      </c>
      <c r="Q15" s="4">
        <v>3</v>
      </c>
      <c r="R15" s="4">
        <v>2</v>
      </c>
      <c r="S15" s="4">
        <v>8</v>
      </c>
      <c r="T15" s="4">
        <v>9</v>
      </c>
      <c r="U15" s="4">
        <v>6</v>
      </c>
      <c r="V15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7" sqref="E17"/>
    </sheetView>
  </sheetViews>
  <sheetFormatPr defaultRowHeight="15" x14ac:dyDescent="0.25"/>
  <cols>
    <col min="1" max="1" width="41.85546875" customWidth="1"/>
    <col min="2" max="2" width="13.7109375" customWidth="1"/>
  </cols>
  <sheetData>
    <row r="1" spans="1:2" x14ac:dyDescent="0.25">
      <c r="A1" s="5" t="s">
        <v>190</v>
      </c>
      <c r="B1" s="5" t="s">
        <v>198</v>
      </c>
    </row>
    <row r="2" spans="1:2" x14ac:dyDescent="0.25">
      <c r="A2" t="s">
        <v>51</v>
      </c>
      <c r="B2">
        <f>COUNTIF(mock_dataset!I2:I101,"Large cash transaction")</f>
        <v>5</v>
      </c>
    </row>
    <row r="3" spans="1:2" x14ac:dyDescent="0.25">
      <c r="A3" t="s">
        <v>16</v>
      </c>
      <c r="B3">
        <f>COUNTIF(mock_dataset!I2:I101, "Multiple accounts from same IP")</f>
        <v>8</v>
      </c>
    </row>
    <row r="4" spans="1:2" x14ac:dyDescent="0.25">
      <c r="A4" t="s">
        <v>178</v>
      </c>
      <c r="B4">
        <f>COUNTIF(mock_dataset!I2:I101,"Repeated transaction in a short time")</f>
        <v>8</v>
      </c>
    </row>
    <row r="5" spans="1:2" x14ac:dyDescent="0.25">
      <c r="A5" t="s">
        <v>21</v>
      </c>
      <c r="B5">
        <f>COUNTIF(mock_dataset!I2:I101, "Multiple failed attempts")</f>
        <v>6</v>
      </c>
    </row>
    <row r="6" spans="1:2" x14ac:dyDescent="0.25">
      <c r="A6" t="s">
        <v>177</v>
      </c>
      <c r="B6">
        <f>COUNTIF(mock_dataset!I2:I101, "login from different IP address")</f>
        <v>3</v>
      </c>
    </row>
    <row r="7" spans="1:2" x14ac:dyDescent="0.25">
      <c r="A7" t="s">
        <v>179</v>
      </c>
      <c r="B7">
        <f>COUNTIF(mock_dataset!I2:I101, "Unusual time of transaction")</f>
        <v>5</v>
      </c>
    </row>
    <row r="8" spans="1:2" x14ac:dyDescent="0.25">
      <c r="A8" t="s">
        <v>180</v>
      </c>
      <c r="B8">
        <f>COUNTIF(mock_dataset!I2:I101,"Suspicious payment method usage")</f>
        <v>8</v>
      </c>
    </row>
    <row r="9" spans="1:2" x14ac:dyDescent="0.25">
      <c r="A9" t="s">
        <v>181</v>
      </c>
      <c r="B9">
        <f>COUNTIF(mock_dataset!I2:I101, "Multiple withdrawal in a short time")</f>
        <v>3</v>
      </c>
    </row>
    <row r="10" spans="1:2" x14ac:dyDescent="0.25">
      <c r="A10" t="s">
        <v>200</v>
      </c>
      <c r="B10">
        <f>COUNTIF(Table1[Reason for Trigger], "failed payment threshold")</f>
        <v>3</v>
      </c>
    </row>
    <row r="12" spans="1:2" x14ac:dyDescent="0.25">
      <c r="A12" s="5" t="s">
        <v>194</v>
      </c>
      <c r="B12" s="5">
        <f>SUM(B2:B11)</f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11" sqref="G11"/>
    </sheetView>
  </sheetViews>
  <sheetFormatPr defaultRowHeight="15" x14ac:dyDescent="0.25"/>
  <cols>
    <col min="2" max="2" width="14.42578125" customWidth="1"/>
    <col min="3" max="3" width="12.28515625" customWidth="1"/>
    <col min="4" max="4" width="17.28515625" customWidth="1"/>
    <col min="5" max="5" width="20.28515625" customWidth="1"/>
    <col min="7" max="7" width="13.42578125" customWidth="1"/>
    <col min="8" max="8" width="17.7109375" customWidth="1"/>
    <col min="9" max="9" width="13.5703125" customWidth="1"/>
  </cols>
  <sheetData>
    <row r="1" spans="1:9" x14ac:dyDescent="0.25">
      <c r="A1" s="5" t="s">
        <v>1</v>
      </c>
      <c r="B1" s="5" t="s">
        <v>0</v>
      </c>
      <c r="C1" s="5" t="s">
        <v>4</v>
      </c>
      <c r="D1" s="5" t="s">
        <v>2</v>
      </c>
      <c r="E1" s="5" t="s">
        <v>197</v>
      </c>
      <c r="F1" s="5" t="s">
        <v>3</v>
      </c>
      <c r="G1" s="5" t="s">
        <v>195</v>
      </c>
      <c r="H1" s="5" t="s">
        <v>196</v>
      </c>
      <c r="I1" s="5" t="s">
        <v>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mock_dataset</vt:lpstr>
      <vt:lpstr> Pivot Table</vt:lpstr>
      <vt:lpstr>Count of Fraud Reason</vt:lpstr>
      <vt:lpstr>Reporting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LebizT</dc:creator>
  <cp:lastModifiedBy>LebizT</cp:lastModifiedBy>
  <dcterms:created xsi:type="dcterms:W3CDTF">2025-12-10T17:12:32Z</dcterms:created>
  <dcterms:modified xsi:type="dcterms:W3CDTF">2025-12-11T05:39:14Z</dcterms:modified>
</cp:coreProperties>
</file>